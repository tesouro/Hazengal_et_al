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ergio.gadelha\Downloads\"/>
    </mc:Choice>
  </mc:AlternateContent>
  <xr:revisionPtr revIDLastSave="0" documentId="13_ncr:1_{8624D083-2729-4366-87A7-32138EB27871}" xr6:coauthVersionLast="47" xr6:coauthVersionMax="47" xr10:uidLastSave="{00000000-0000-0000-0000-000000000000}"/>
  <bookViews>
    <workbookView xWindow="-120" yWindow="-120" windowWidth="24240" windowHeight="13140" activeTab="1" xr2:uid="{2F05687B-AE6F-420C-ADF2-52EC6DCB8C73}"/>
  </bookViews>
  <sheets>
    <sheet name="Datos_Trimestrales" sheetId="4" r:id="rId1"/>
    <sheet name="Datos_Anuales" sheetId="5" r:id="rId2"/>
    <sheet name="STN-RPF-Tabela 2" sheetId="9" r:id="rId3"/>
    <sheet name="RTN-2.2-A" sheetId="10" r:id="rId4"/>
    <sheet name="RTN-2.2" sheetId="11" r:id="rId5"/>
    <sheet name="STN-RPF-Tabela 1" sheetId="8" r:id="rId6"/>
    <sheet name="BCB-DBGG-trimestral" sheetId="7" r:id="rId7"/>
    <sheet name="BCB-DBGG-anual" sheetId="6" r:id="rId8"/>
  </sheets>
  <externalReferences>
    <externalReference r:id="rId9"/>
  </externalReferences>
  <definedNames>
    <definedName name="\a">#REF!</definedName>
    <definedName name="\i">#REF!</definedName>
    <definedName name="\j">#REF!</definedName>
    <definedName name="\k">#REF!</definedName>
    <definedName name="\p">#REF!</definedName>
    <definedName name="________abr01">#REF!</definedName>
    <definedName name="________PIB04">#REF!</definedName>
    <definedName name="________PIB05">#REF!</definedName>
    <definedName name="________PIB06">#REF!</definedName>
    <definedName name="________PIB90">#REF!</definedName>
    <definedName name="________PIB91">#REF!</definedName>
    <definedName name="________PIB92">#REF!</definedName>
    <definedName name="________PIB93">#REF!</definedName>
    <definedName name="________PIB94">#REF!</definedName>
    <definedName name="________PIB95">#REF!</definedName>
    <definedName name="________PIB96">#REF!</definedName>
    <definedName name="________PIB97">#REF!</definedName>
    <definedName name="________PIB98">#REF!</definedName>
    <definedName name="________PIB99">#REF!</definedName>
    <definedName name="_______PIB01">#REF!</definedName>
    <definedName name="_______PIB02">#REF!</definedName>
    <definedName name="_______PIB03">#REF!</definedName>
    <definedName name="______abr01">#REF!</definedName>
    <definedName name="______PIB01">#REF!</definedName>
    <definedName name="______PIB02">#REF!</definedName>
    <definedName name="______PIB03">#REF!</definedName>
    <definedName name="______PIB04">#REF!</definedName>
    <definedName name="______PIB05">#REF!</definedName>
    <definedName name="______PIB06">#REF!</definedName>
    <definedName name="______PIB90">#REF!</definedName>
    <definedName name="______PIB91">#REF!</definedName>
    <definedName name="______PIB92">#REF!</definedName>
    <definedName name="______PIB93">#REF!</definedName>
    <definedName name="______PIB94">#REF!</definedName>
    <definedName name="______PIB95">#REF!</definedName>
    <definedName name="______PIB96">#REF!</definedName>
    <definedName name="______PIB97">#REF!</definedName>
    <definedName name="______PIB98">#REF!</definedName>
    <definedName name="______PIB99">#REF!</definedName>
    <definedName name="_____abr01">#REF!</definedName>
    <definedName name="_____PIB01">#REF!</definedName>
    <definedName name="_____PIB02">#REF!</definedName>
    <definedName name="_____PIB03">#REF!</definedName>
    <definedName name="_____PIB04">#REF!</definedName>
    <definedName name="_____PIB05">#REF!</definedName>
    <definedName name="_____PIB06">#REF!</definedName>
    <definedName name="_____PIB90">#REF!</definedName>
    <definedName name="_____PIB91">#REF!</definedName>
    <definedName name="_____PIB92">#REF!</definedName>
    <definedName name="_____PIB93">#REF!</definedName>
    <definedName name="_____PIB94">#REF!</definedName>
    <definedName name="_____PIB95">#REF!</definedName>
    <definedName name="_____PIB96">#REF!</definedName>
    <definedName name="_____PIB97">#REF!</definedName>
    <definedName name="_____PIB98">#REF!</definedName>
    <definedName name="_____PIB99">#REF!</definedName>
    <definedName name="____abr01">#REF!</definedName>
    <definedName name="____PIB01">#REF!</definedName>
    <definedName name="____PIB02">#REF!</definedName>
    <definedName name="____PIB03">#REF!</definedName>
    <definedName name="____PIB04">#REF!</definedName>
    <definedName name="____PIB05">#REF!</definedName>
    <definedName name="____PIB06">#REF!</definedName>
    <definedName name="____PIB90">#REF!</definedName>
    <definedName name="____PIB91">#REF!</definedName>
    <definedName name="____PIB92">#REF!</definedName>
    <definedName name="____PIB93">#REF!</definedName>
    <definedName name="____PIB94">#REF!</definedName>
    <definedName name="____PIB95">#REF!</definedName>
    <definedName name="____PIB96">#REF!</definedName>
    <definedName name="____PIB97">#REF!</definedName>
    <definedName name="____PIB98">#REF!</definedName>
    <definedName name="____PIB99">#REF!</definedName>
    <definedName name="___abr01">#REF!</definedName>
    <definedName name="___dez7">#REF!</definedName>
    <definedName name="___nov7">#REF!</definedName>
    <definedName name="___out7">#REF!</definedName>
    <definedName name="___PIB01">#REF!</definedName>
    <definedName name="___PIB02">#REF!</definedName>
    <definedName name="___PIB03">#REF!</definedName>
    <definedName name="___PIB04">#REF!</definedName>
    <definedName name="___PIB05">#REF!</definedName>
    <definedName name="___PIB06">#REF!</definedName>
    <definedName name="___PIB90">#REF!</definedName>
    <definedName name="___PIB91">#REF!</definedName>
    <definedName name="___PIB92">#REF!</definedName>
    <definedName name="___PIB93">#REF!</definedName>
    <definedName name="___PIB94">#REF!</definedName>
    <definedName name="___PIB95">#REF!</definedName>
    <definedName name="___PIB96">#REF!</definedName>
    <definedName name="___PIB97">#REF!</definedName>
    <definedName name="___PIB98">#REF!</definedName>
    <definedName name="___PIB99">#REF!</definedName>
    <definedName name="___set7">#REF!</definedName>
    <definedName name="__123Graph_A" hidden="1">#REF!</definedName>
    <definedName name="__123Graph_AEMPREG" hidden="1">#REF!</definedName>
    <definedName name="__123Graph_AGRAF1" hidden="1">#REF!</definedName>
    <definedName name="__123Graph_AGRAF2" hidden="1">#REF!</definedName>
    <definedName name="__123Graph_AGRAF3" hidden="1">#REF!</definedName>
    <definedName name="__123Graph_X" hidden="1">#REF!</definedName>
    <definedName name="__123Graph_XEMPREG" hidden="1">#REF!</definedName>
    <definedName name="__123Graph_XGRAF1" hidden="1">#REF!</definedName>
    <definedName name="__123Graph_XGRAF2" hidden="1">#REF!</definedName>
    <definedName name="__123Graph_XGRAF3" hidden="1">#REF!</definedName>
    <definedName name="__123Graph_XRUBRATE" hidden="1">#REF!</definedName>
    <definedName name="__123Graph_XUSRATE" hidden="1">#REF!</definedName>
    <definedName name="__abr01">#REF!</definedName>
    <definedName name="__dez7">#REF!</definedName>
    <definedName name="__nov7">#REF!</definedName>
    <definedName name="__out7">#REF!</definedName>
    <definedName name="__PIB01">#REF!</definedName>
    <definedName name="__PIB02">#REF!</definedName>
    <definedName name="__PIB03">#REF!</definedName>
    <definedName name="__PIB04">#REF!</definedName>
    <definedName name="__PIB05">#REF!</definedName>
    <definedName name="__PIB06">#REF!</definedName>
    <definedName name="__pib2">#REF!</definedName>
    <definedName name="__PIB90">#REF!</definedName>
    <definedName name="__PIB91">#REF!</definedName>
    <definedName name="__PIB92">#REF!</definedName>
    <definedName name="__PIB93">#REF!</definedName>
    <definedName name="__PIB94">#REF!</definedName>
    <definedName name="__PIB95">#REF!</definedName>
    <definedName name="__PIB96">#REF!</definedName>
    <definedName name="__PIB97">#REF!</definedName>
    <definedName name="__PIB98">#REF!</definedName>
    <definedName name="__PIB99">#REF!</definedName>
    <definedName name="__set7">#REF!</definedName>
    <definedName name="_01_01_06">#REF!</definedName>
    <definedName name="_01_04_04">#REF!</definedName>
    <definedName name="_01_04_05">#REF!</definedName>
    <definedName name="_01_07_04">#REF!</definedName>
    <definedName name="_01_07_05">#REF!</definedName>
    <definedName name="_01_10_03">OFFSET(#REF!,0,0,COUNTA(#REF!)-1)</definedName>
    <definedName name="_01_10_04">#REF!</definedName>
    <definedName name="_02_Jan2004">#REF!</definedName>
    <definedName name="_04_01_05">#REF!</definedName>
    <definedName name="_07_01_04">#REF!</definedName>
    <definedName name="_1_">#REF!</definedName>
    <definedName name="_11___123Graph_XChart_4A" hidden="1">#REF!</definedName>
    <definedName name="_15">#REF!</definedName>
    <definedName name="_2_">#REF!</definedName>
    <definedName name="_26">#REF!</definedName>
    <definedName name="_2TAXA_DE">#REF!</definedName>
    <definedName name="_3TAXA_DE">#REF!</definedName>
    <definedName name="_4_">#REF!</definedName>
    <definedName name="_5_">#REF!</definedName>
    <definedName name="_5TAXA_DE">#REF!</definedName>
    <definedName name="_6TAXA_DE">#REF!</definedName>
    <definedName name="_7TAXA_DE">#REF!</definedName>
    <definedName name="_abr01">#REF!</definedName>
    <definedName name="_abr08">#REF!</definedName>
    <definedName name="_abr09">#REF!</definedName>
    <definedName name="_ago08">#REF!</definedName>
    <definedName name="_dez7">#REF!</definedName>
    <definedName name="_fev2009">#REF!</definedName>
    <definedName name="_ID">"II.19 BACEN balancete passivo(5)"</definedName>
    <definedName name="_Jan2004">#REF!</definedName>
    <definedName name="_jul08">#REF!</definedName>
    <definedName name="_jun08">#REF!</definedName>
    <definedName name="_Key1" hidden="1">#REF!</definedName>
    <definedName name="_Lin1">8</definedName>
    <definedName name="_Lin2">12</definedName>
    <definedName name="_Lin3">42</definedName>
    <definedName name="_listames">#REF!</definedName>
    <definedName name="_listastat">#REF!</definedName>
    <definedName name="_mar08">#REF!</definedName>
    <definedName name="_NCol">7</definedName>
    <definedName name="_nov7">#REF!</definedName>
    <definedName name="_Order1" hidden="1">255</definedName>
    <definedName name="_Order2" hidden="1">0</definedName>
    <definedName name="_out08">#REF!</definedName>
    <definedName name="_out7">#REF!</definedName>
    <definedName name="_PIB01">#REF!</definedName>
    <definedName name="_PIB02">#REF!</definedName>
    <definedName name="_PIB03">#REF!</definedName>
    <definedName name="_PIB04">#REF!</definedName>
    <definedName name="_PIB05">#REF!</definedName>
    <definedName name="_PIB06">#REF!</definedName>
    <definedName name="_pib2">#REF!</definedName>
    <definedName name="_PIB90">#REF!</definedName>
    <definedName name="_PIB91">#REF!</definedName>
    <definedName name="_PIB92">#REF!</definedName>
    <definedName name="_PIB93">#REF!</definedName>
    <definedName name="_PIB94">#REF!</definedName>
    <definedName name="_PIB95">#REF!</definedName>
    <definedName name="_PIB96">#REF!</definedName>
    <definedName name="_PIB97">#REF!</definedName>
    <definedName name="_PIB98">#REF!</definedName>
    <definedName name="_PIB99">#REF!</definedName>
    <definedName name="_pm201">#REF!</definedName>
    <definedName name="_pm202">#REF!</definedName>
    <definedName name="_pm203">#REF!</definedName>
    <definedName name="_pm204">#REF!</definedName>
    <definedName name="_pm205">#REF!</definedName>
    <definedName name="_pm206">#REF!</definedName>
    <definedName name="_pm207">#REF!</definedName>
    <definedName name="_pm208">#REF!</definedName>
    <definedName name="_pm209">#REF!</definedName>
    <definedName name="_pm210">#REF!</definedName>
    <definedName name="_pm211">#REF!</definedName>
    <definedName name="_pm212">#REF!</definedName>
    <definedName name="_pm213">#REF!</definedName>
    <definedName name="_pm214">#REF!</definedName>
    <definedName name="_pm215">#REF!</definedName>
    <definedName name="_pm216">#REF!</definedName>
    <definedName name="_pm217">#REF!</definedName>
    <definedName name="_pm218">#REF!</definedName>
    <definedName name="_pm219">#REF!</definedName>
    <definedName name="_pm220">#REF!</definedName>
    <definedName name="_pm221">#REF!</definedName>
    <definedName name="_pm222">#REF!</definedName>
    <definedName name="_pm223">#REF!</definedName>
    <definedName name="_pm224">#REF!</definedName>
    <definedName name="_pm225">#REF!</definedName>
    <definedName name="_pm226">#REF!</definedName>
    <definedName name="_r">#N/A</definedName>
    <definedName name="_Regression_Int" hidden="1">1</definedName>
    <definedName name="_set08">#REF!</definedName>
    <definedName name="_set7">#REF!</definedName>
    <definedName name="_Sort" hidden="1">#REF!</definedName>
    <definedName name="_Tipo">1</definedName>
    <definedName name="a">#REF!</definedName>
    <definedName name="AAA">#REF!</definedName>
    <definedName name="aaaa">#REF!</definedName>
    <definedName name="aaaaaaaaaaa">#REF!</definedName>
    <definedName name="abr">#REF!</definedName>
    <definedName name="abril10">#REF!</definedName>
    <definedName name="abril2008">#REF!</definedName>
    <definedName name="AccessDatabase" hidden="1">"C:\DECIDE98\UNIÃO 2xls.mdb"</definedName>
    <definedName name="ACCOUNTS_DB">#REF!</definedName>
    <definedName name="AÇOPALMAII">#REF!</definedName>
    <definedName name="ad" hidden="1">#REF!</definedName>
    <definedName name="ADICIONAIS">#REF!</definedName>
    <definedName name="ago">#REF!</definedName>
    <definedName name="agosto">#REF!</definedName>
    <definedName name="agosto2008">#REF!</definedName>
    <definedName name="Agosto2010">#REF!</definedName>
    <definedName name="AMARELO">#REF!</definedName>
    <definedName name="AMEIXA">#REF!</definedName>
    <definedName name="Amortização">#REF!</definedName>
    <definedName name="area">#REF!</definedName>
    <definedName name="_xlnm.Print_Area" localSheetId="4">'RTN-2.2'!$A$2:$B$79</definedName>
    <definedName name="_xlnm.Print_Area" localSheetId="3">'RTN-2.2-A'!$A$2:$B$79</definedName>
    <definedName name="_xlnm.Print_Area">#REF!</definedName>
    <definedName name="area_de_impressaoEST">#REF!</definedName>
    <definedName name="Área_impressão_DIR">#REF!</definedName>
    <definedName name="ATIVIDADE">#REF!</definedName>
    <definedName name="AZUL">#REF!</definedName>
    <definedName name="b">#REF!</definedName>
    <definedName name="BANCO_CENTRAL_DO_BRASIL">#REF!</definedName>
    <definedName name="_xlnm.Database">#REF!</definedName>
    <definedName name="BANRORAIMA_PMBOAVISTA">#REF!</definedName>
    <definedName name="BBB">#REF!</definedName>
    <definedName name="BLPH10"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4B"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5B"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19B"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CC">#REF!</definedName>
    <definedName name="BNDESPAR">#REF!</definedName>
    <definedName name="BolCopin">#REF!,#REF!,#REF!</definedName>
    <definedName name="BPC">#REF!</definedName>
    <definedName name="Brasil___Produto_Interno_Bruto___PIB">#REF!</definedName>
    <definedName name="cambio">#REF!</definedName>
    <definedName name="Câmbio_por">OFFSET(#REF!,0,0,COUNTA(#REF!)-1)</definedName>
    <definedName name="CAPA">#REF!</definedName>
    <definedName name="ccc" hidden="1">#REF!</definedName>
    <definedName name="cen_100">#REF!</definedName>
    <definedName name="cen_101">#REF!</definedName>
    <definedName name="cen_102">#REF!</definedName>
    <definedName name="cen_103">#REF!</definedName>
    <definedName name="cen_104">#REF!</definedName>
    <definedName name="cen_105">#REF!</definedName>
    <definedName name="cen_106">#REF!</definedName>
    <definedName name="cen_107">#REF!</definedName>
    <definedName name="cen_108">#REF!</definedName>
    <definedName name="cen_55">#REF!</definedName>
    <definedName name="cen_56">#REF!</definedName>
    <definedName name="cen_57">#REF!</definedName>
    <definedName name="cen_58">#REF!</definedName>
    <definedName name="cen_59">#REF!</definedName>
    <definedName name="cen_60">#REF!</definedName>
    <definedName name="cen_61">#REF!</definedName>
    <definedName name="cen_62">#REF!</definedName>
    <definedName name="cen_63">#REF!</definedName>
    <definedName name="cen_64">#REF!</definedName>
    <definedName name="cen_65">#REF!</definedName>
    <definedName name="cen_66">#REF!</definedName>
    <definedName name="cen_67">#REF!</definedName>
    <definedName name="cen_68">#REF!</definedName>
    <definedName name="cen_69">#REF!</definedName>
    <definedName name="cen_70">#REF!</definedName>
    <definedName name="cen_71">#REF!</definedName>
    <definedName name="cen_72">#REF!</definedName>
    <definedName name="cen_73">#REF!</definedName>
    <definedName name="cen_74">#REF!</definedName>
    <definedName name="cen_75">#REF!</definedName>
    <definedName name="cen_76">#REF!</definedName>
    <definedName name="cen_77">#REF!</definedName>
    <definedName name="cen_78">#REF!</definedName>
    <definedName name="cen_79">#REF!</definedName>
    <definedName name="cen_80">#REF!</definedName>
    <definedName name="cen_81">#REF!</definedName>
    <definedName name="cen_82">#REF!</definedName>
    <definedName name="cen_83">#REF!</definedName>
    <definedName name="cen_84">#REF!</definedName>
    <definedName name="cen_85">#REF!</definedName>
    <definedName name="cen_86">#REF!</definedName>
    <definedName name="cen_87">#REF!</definedName>
    <definedName name="cen_88">#REF!</definedName>
    <definedName name="cen_89">#REF!</definedName>
    <definedName name="cen_90">#REF!</definedName>
    <definedName name="cen_91">#REF!</definedName>
    <definedName name="cen_92">#REF!</definedName>
    <definedName name="cen_93">#REF!</definedName>
    <definedName name="cen_94">#REF!</definedName>
    <definedName name="cen_95">#REF!</definedName>
    <definedName name="cen_96">#REF!</definedName>
    <definedName name="cen_97">#REF!</definedName>
    <definedName name="cen_98">#REF!</definedName>
    <definedName name="cen_99">#REF!</definedName>
    <definedName name="cen_rec_100">#REF!</definedName>
    <definedName name="cen_rec_101">#REF!</definedName>
    <definedName name="cen_rec_102">#REF!</definedName>
    <definedName name="cen_rec_103">#REF!</definedName>
    <definedName name="cen_rec_104">#REF!</definedName>
    <definedName name="cen_rec_105">#REF!</definedName>
    <definedName name="cen_rec_106">#REF!</definedName>
    <definedName name="cen_rec_107">#REF!</definedName>
    <definedName name="cen_rec_108">#REF!</definedName>
    <definedName name="cen_rec_55">#REF!</definedName>
    <definedName name="cen_rec_56">#REF!</definedName>
    <definedName name="cen_rec_57">#REF!</definedName>
    <definedName name="cen_rec_58">#REF!</definedName>
    <definedName name="cen_rec_59">#REF!</definedName>
    <definedName name="cen_rec_60">#REF!</definedName>
    <definedName name="cen_rec_61">#REF!</definedName>
    <definedName name="cen_rec_62">#REF!</definedName>
    <definedName name="cen_rec_63">#REF!</definedName>
    <definedName name="cen_rec_64">#REF!</definedName>
    <definedName name="cen_rec_65">#REF!</definedName>
    <definedName name="cen_rec_66">#REF!</definedName>
    <definedName name="cen_rec_67">#REF!</definedName>
    <definedName name="cen_rec_68">#REF!</definedName>
    <definedName name="cen_rec_69">#REF!</definedName>
    <definedName name="cen_rec_70">#REF!</definedName>
    <definedName name="cen_rec_71">#REF!</definedName>
    <definedName name="cen_rec_72">#REF!</definedName>
    <definedName name="cen_rec_73">#REF!</definedName>
    <definedName name="cen_rec_74">#REF!</definedName>
    <definedName name="cen_rec_75">#REF!</definedName>
    <definedName name="cen_rec_76">#REF!</definedName>
    <definedName name="cen_rec_77">#REF!</definedName>
    <definedName name="cen_rec_78">#REF!</definedName>
    <definedName name="cen_rec_79">#REF!</definedName>
    <definedName name="cen_rec_80">#REF!</definedName>
    <definedName name="cen_rec_81">#REF!</definedName>
    <definedName name="cen_rec_82">#REF!</definedName>
    <definedName name="cen_rec_83">#REF!</definedName>
    <definedName name="cen_rec_84">#REF!</definedName>
    <definedName name="cen_rec_85">#REF!</definedName>
    <definedName name="cen_rec_86">#REF!</definedName>
    <definedName name="cen_rec_87">#REF!</definedName>
    <definedName name="cen_rec_88">#REF!</definedName>
    <definedName name="cen_rec_89">#REF!</definedName>
    <definedName name="cen_rec_90">#REF!</definedName>
    <definedName name="cen_rec_91">#REF!</definedName>
    <definedName name="cen_rec_92">#REF!</definedName>
    <definedName name="cen_rec_93">#REF!</definedName>
    <definedName name="cen_rec_94">#REF!</definedName>
    <definedName name="cen_rec_95">#REF!</definedName>
    <definedName name="cen_rec_96">#REF!</definedName>
    <definedName name="cen_rec_97">#REF!</definedName>
    <definedName name="cen_rec_98">#REF!</definedName>
    <definedName name="cen_rec_99">#REF!</definedName>
    <definedName name="Cenário_tendência">#REF!</definedName>
    <definedName name="CideCombustiveis">#REF!</definedName>
    <definedName name="CideRemessas">#REF!</definedName>
    <definedName name="CINZA">#REF!</definedName>
    <definedName name="COF">#N/A</definedName>
    <definedName name="COFINS">#REF!</definedName>
    <definedName name="ConcProg">#REF!</definedName>
    <definedName name="CONFERÊNCIA_2ÁreaTotal">#REF!,#REF!</definedName>
    <definedName name="CONFERÊNCIA_2TítCols">#REF!,#REF!</definedName>
    <definedName name="CSLL">#REF!</definedName>
    <definedName name="cstCountryNameColumn">2</definedName>
    <definedName name="cstDataColumn">13</definedName>
    <definedName name="cstDataRange">"I13:I242"</definedName>
    <definedName name="cstDisplayType">"G24"</definedName>
    <definedName name="cstNumDecimals">"G25"</definedName>
    <definedName name="cstReportNoteColumn">9</definedName>
    <definedName name="d">#REF!</definedName>
    <definedName name="dados">#REF!</definedName>
    <definedName name="dados1">#REF!</definedName>
    <definedName name="DATA">OFFSET(#REF!,0,0,COUNTA(#REF!)-1)</definedName>
    <definedName name="DATA_ing">OFFSET(#REF!,0,0,COUNTA(#REF!)-1)</definedName>
    <definedName name="DATA_por">OFFSET(#REF!,0,0,COUNTA(#REF!)-1)</definedName>
    <definedName name="dd">#REF!</definedName>
    <definedName name="DE_PARA_UOS">#REF!</definedName>
    <definedName name="DE_UOs">#REF!</definedName>
    <definedName name="dez">#REF!</definedName>
    <definedName name="dezembro">#REF!</definedName>
    <definedName name="dezembro08">#REF!</definedName>
    <definedName name="dfas">#REF!</definedName>
    <definedName name="DIAATUAL">#REF!</definedName>
    <definedName name="DIARIO1B">#REF!</definedName>
    <definedName name="DIARIO1E">#REF!</definedName>
    <definedName name="DIARIO2A">#REF!</definedName>
    <definedName name="DIARIO2B">#REF!</definedName>
    <definedName name="DIARIO2E">#REF!</definedName>
    <definedName name="DiasBase">#REF!</definedName>
    <definedName name="DiasBase1">#REF!</definedName>
    <definedName name="DiasBase2">#REF!</definedName>
    <definedName name="DiasBase3">#REF!</definedName>
    <definedName name="DiasBase4">#REF!</definedName>
    <definedName name="dólar">#REF!</definedName>
    <definedName name="DPF" localSheetId="2" hidden="1">{#N/A,#N/A,FALSE,"DIVIG"}</definedName>
    <definedName name="DPF" hidden="1">{#N/A,#N/A,FALSE,"DIVIG"}</definedName>
    <definedName name="DPF_1" localSheetId="2" hidden="1">{#N/A,#N/A,FALSE,"DIVIG"}</definedName>
    <definedName name="DPF_1" hidden="1">{#N/A,#N/A,FALSE,"DIVIG"}</definedName>
    <definedName name="dt">#REF!</definedName>
    <definedName name="e">#REF!</definedName>
    <definedName name="EBTU">#REF!</definedName>
    <definedName name="Emissão">#REF!</definedName>
    <definedName name="emitido">#REF!</definedName>
    <definedName name="evol">#REF!</definedName>
    <definedName name="EXTERNO">#REF!</definedName>
    <definedName name="f">#REF!</definedName>
    <definedName name="fdf">#REF!</definedName>
    <definedName name="feriados">#REF!</definedName>
    <definedName name="fev">#REF!</definedName>
    <definedName name="fevereiro">#REF!</definedName>
    <definedName name="fevereiro08">#REF!</definedName>
    <definedName name="fevereiro09">#REF!</definedName>
    <definedName name="Fevereiro10">#REF!</definedName>
    <definedName name="FISCAL">#REF!</definedName>
    <definedName name="Fram_TIR">#REF!</definedName>
    <definedName name="fsdf">#REF!</definedName>
    <definedName name="FUNDAF">#N/A</definedName>
    <definedName name="Fundos_Constitucionais">#REF!</definedName>
    <definedName name="Graf4">#REF!</definedName>
    <definedName name="_xlnm.Recorder">#REF!</definedName>
    <definedName name="Hedings">#REF!</definedName>
    <definedName name="HTML_CodePage" hidden="1">1252</definedName>
    <definedName name="HTML_Control" localSheetId="2" hidden="1">{"'2.1'!$B$1:$I$50"}</definedName>
    <definedName name="HTML_Control" hidden="1">{"'2.1'!$B$1:$I$50"}</definedName>
    <definedName name="HTML_Control_1" localSheetId="2" hidden="1">{"'Emissoes'!$B$1:$Q$80"}</definedName>
    <definedName name="HTML_Control_1" hidden="1">{"'Emissoes'!$B$1:$Q$80"}</definedName>
    <definedName name="HTML_Description" hidden="1">""</definedName>
    <definedName name="HTML_Email" hidden="1">""</definedName>
    <definedName name="HTML_Header" hidden="1">"2.1"</definedName>
    <definedName name="HTML_LastUpdate" hidden="1">"17/05/02"</definedName>
    <definedName name="HTML_LineAfter" hidden="1">FALSE</definedName>
    <definedName name="HTML_LineBefore" hidden="1">FALSE</definedName>
    <definedName name="HTML_Name" hidden="1">"Secretaria da Fazenda"</definedName>
    <definedName name="HTML_OBDlg2" hidden="1">TRUE</definedName>
    <definedName name="HTML_OBDlg4" hidden="1">TRUE</definedName>
    <definedName name="HTML_OS" hidden="1">0</definedName>
    <definedName name="HTML_PathFile" hidden="1">"C:\Meus documentos\21.htm"</definedName>
    <definedName name="HTML_Title" hidden="1">"21"</definedName>
    <definedName name="i10x">#REF!</definedName>
    <definedName name="i11x">#REF!</definedName>
    <definedName name="i12x">#REF!</definedName>
    <definedName name="i3x">#REF!</definedName>
    <definedName name="i4x">#REF!</definedName>
    <definedName name="i5x">#REF!</definedName>
    <definedName name="i6x">#REF!</definedName>
    <definedName name="i7x">#REF!</definedName>
    <definedName name="i8x">#REF!</definedName>
    <definedName name="i9x">#REF!</definedName>
    <definedName name="IAA">#REF!</definedName>
    <definedName name="IE">#REF!</definedName>
    <definedName name="igp">#REF!</definedName>
    <definedName name="IGP_DI">#REF!</definedName>
    <definedName name="IGP_M">#REF!</definedName>
    <definedName name="igpdic">#REF!</definedName>
    <definedName name="II">#REF!</definedName>
    <definedName name="IMP">#N/A</definedName>
    <definedName name="IMPRESS2">#REF!</definedName>
    <definedName name="Índice_selecionado">#REF!</definedName>
    <definedName name="ÍNDICES">#REF!</definedName>
    <definedName name="inggraf">#REF!</definedName>
    <definedName name="INICIOFILTRADO">#REF!</definedName>
    <definedName name="IOF">#N/A</definedName>
    <definedName name="IPC_SGV">#REF!</definedName>
    <definedName name="IPI">#REF!</definedName>
    <definedName name="IPIB">#N/A</definedName>
    <definedName name="IPID">#N/A</definedName>
    <definedName name="IPIV">#N/A</definedName>
    <definedName name="IR">#REF!</definedName>
    <definedName name="IRRFO">#N/A</definedName>
    <definedName name="itaipu423">#REF!</definedName>
    <definedName name="ITR">#N/A</definedName>
    <definedName name="IV.22___Índices_de_taxas_reais_de_câmbio">#REF!</definedName>
    <definedName name="IV.30___Taxa_de_câmbio___segmento_livre1">#REF!</definedName>
    <definedName name="ja" hidden="1">#REF!</definedName>
    <definedName name="jan">#REF!</definedName>
    <definedName name="janeiro">#REF!</definedName>
    <definedName name="janeiro08">#REF!</definedName>
    <definedName name="janeiro09">#REF!</definedName>
    <definedName name="janeiro10">#REF!</definedName>
    <definedName name="janeiro2009">#REF!</definedName>
    <definedName name="jul">#REF!</definedName>
    <definedName name="julh08">#REF!</definedName>
    <definedName name="Julho">#REF!</definedName>
    <definedName name="Julho01">#REF!</definedName>
    <definedName name="julho2010">#REF!</definedName>
    <definedName name="jun">#REF!</definedName>
    <definedName name="junho">#REF!</definedName>
    <definedName name="junho10">#REF!</definedName>
    <definedName name="JUROS">#REF!</definedName>
    <definedName name="LARANJA">#REF!</definedName>
    <definedName name="LFT">#REF!</definedName>
    <definedName name="Lista_índices">#REF!</definedName>
    <definedName name="llllllll">#REF!</definedName>
    <definedName name="LLOYDS">#REF!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N">#REF!</definedName>
    <definedName name="mai">#REF!</definedName>
    <definedName name="maio">#REF!</definedName>
    <definedName name="Maio08">#REF!</definedName>
    <definedName name="maio10">#REF!</definedName>
    <definedName name="maio2008">#REF!</definedName>
    <definedName name="MAPA1">#REF!</definedName>
    <definedName name="MAPA2">#REF!</definedName>
    <definedName name="MAPA3">#REF!</definedName>
    <definedName name="MAPA4">#REF!</definedName>
    <definedName name="MAPA5">#REF!</definedName>
    <definedName name="MAPA6">#REF!</definedName>
    <definedName name="MAPA7">#REF!</definedName>
    <definedName name="MAPA8">#REF!</definedName>
    <definedName name="MAPA9">#REF!</definedName>
    <definedName name="mar">#REF!</definedName>
    <definedName name="marcao" hidden="1">#REF!</definedName>
    <definedName name="março">#REF!</definedName>
    <definedName name="março08">#REF!</definedName>
    <definedName name="março10">#REF!</definedName>
    <definedName name="MARINHO">#REF!</definedName>
    <definedName name="MARRON">#REF!</definedName>
    <definedName name="MATURACAO">#REF!</definedName>
    <definedName name="Mensal">#REF!</definedName>
    <definedName name="mensal2">#REF!</definedName>
    <definedName name="mensal3">#REF!</definedName>
    <definedName name="MENSAL4">#REF!</definedName>
    <definedName name="merc">#REF!</definedName>
    <definedName name="MERCADODETRABALHO">#REF!</definedName>
    <definedName name="MERCTRABALHO">#REF!</definedName>
    <definedName name="MES_REF">#REF!</definedName>
    <definedName name="MESATUAL">#REF!</definedName>
    <definedName name="Meta_At_PM_IGP">#REF!</definedName>
    <definedName name="Meta_At_PM_Papel">#REF!</definedName>
    <definedName name="mm">#REF!</definedName>
    <definedName name="mmmmmmmmmmmmmm">#REF!</definedName>
    <definedName name="mnnnnjjj" hidden="1">#REF!</definedName>
    <definedName name="MONETÁRIO">#REF!</definedName>
    <definedName name="mudar">#N/A</definedName>
    <definedName name="n">#REF!</definedName>
    <definedName name="nnns">#REF!</definedName>
    <definedName name="norte_ferro">#REF!</definedName>
    <definedName name="norteferro">#REF!</definedName>
    <definedName name="NotaImp03_04_2002_11_41_24">#REF!</definedName>
    <definedName name="NotaImp03_07_2002_17_58_20">#REF!</definedName>
    <definedName name="NotaImp04_09_02_08_38_23">#REF!</definedName>
    <definedName name="NotaImp04_10_2002_10_59_10">#REF!</definedName>
    <definedName name="NotaImp05_02_02_11_27_35">#REF!</definedName>
    <definedName name="NotaImp05_02_2003_15_21_31">#REF!</definedName>
    <definedName name="NotaImp05_03_2002_16_00_47">#REF!</definedName>
    <definedName name="NotaImp05_12_2002_08_15_25">#REF!</definedName>
    <definedName name="NotaImp06_08_2002_11_27_18">#REF!</definedName>
    <definedName name="NotaImp06_11_01_16_43_31">#REF!</definedName>
    <definedName name="NotaImp06_11_2002_09_23_06">#REF!</definedName>
    <definedName name="NotaImp07_11_01_14_57_44">#REF!</definedName>
    <definedName name="NotaImp08_01_02_11_21_23">#REF!</definedName>
    <definedName name="NotaImp08_01_2003_16_27_24">#REF!</definedName>
    <definedName name="NotaImp08_05_2002_15_46_45">#REF!</definedName>
    <definedName name="NotaImp08_08_01_14_37_48">#REF!</definedName>
    <definedName name="NotaImp10_03_2003_12_04_29">#REF!</definedName>
    <definedName name="NotaImp12_03_01_11_19_12">#REF!</definedName>
    <definedName name="NotaImp14_06_00_20_15_30">#REF!</definedName>
    <definedName name="NotaImp20_05_2002_14_55_15">#REF!</definedName>
    <definedName name="NotaImp21_06_00_15_03_50">#REF!</definedName>
    <definedName name="NotaImp29_06_00_19_36_22">#REF!</definedName>
    <definedName name="NotaImp29_06_00_20_02_04">#REF!</definedName>
    <definedName name="Notimp">#REF!</definedName>
    <definedName name="nov">#REF!</definedName>
    <definedName name="novembro">#REF!</definedName>
    <definedName name="novembro08">#REF!</definedName>
    <definedName name="novembro10">#REF!</definedName>
    <definedName name="Novo" hidden="1">#REF!</definedName>
    <definedName name="NTNB">#REF!</definedName>
    <definedName name="NTNF">#REF!</definedName>
    <definedName name="out">#REF!</definedName>
    <definedName name="OutrasAdmRFB">#REF!</definedName>
    <definedName name="OutrasDemais">#REF!</definedName>
    <definedName name="outubro">#REF!</definedName>
    <definedName name="Outubro08">#REF!</definedName>
    <definedName name="outubro09">#REF!</definedName>
    <definedName name="Outubro2010">#REF!</definedName>
    <definedName name="Pagemaker">#REF!</definedName>
    <definedName name="Parametros">#REF!</definedName>
    <definedName name="Período">#REF!</definedName>
    <definedName name="PIB">#REF!</definedName>
    <definedName name="PIB00">#REF!</definedName>
    <definedName name="PIBMENSAL">#REF!</definedName>
    <definedName name="PISPASEP">#REF!</definedName>
    <definedName name="Planilha_10ÁreaTotal">#REF!,#REF!</definedName>
    <definedName name="Planilha_10TítCols">#REF!,#REF!</definedName>
    <definedName name="Planilha_11ÁreaTotal">#REF!,#REF!</definedName>
    <definedName name="Planilha_11TítCols">#REF!,#REF!</definedName>
    <definedName name="Planilha_1ÁreaTotal">#REF!,#REF!</definedName>
    <definedName name="Planilha_1CabGráfico">#REF!</definedName>
    <definedName name="Planilha_1TítCols">#REF!,#REF!</definedName>
    <definedName name="Planilha_1TítLins">#REF!</definedName>
    <definedName name="Planilha_2ÁreaTotal">#REF!,#REF!</definedName>
    <definedName name="Planilha_2CabGráfico">#REF!</definedName>
    <definedName name="Planilha_2TítCols">#REF!,#REF!</definedName>
    <definedName name="Planilha_2TítLins">#REF!</definedName>
    <definedName name="Planilha_3ÁreaTotal">#REF!,#REF!</definedName>
    <definedName name="Planilha_3CabGráfico">#REF!</definedName>
    <definedName name="Planilha_3TítCols">#REF!,#REF!</definedName>
    <definedName name="Planilha_3TítLins">#REF!</definedName>
    <definedName name="Planilha_4ÁreaTotal">#REF!,#REF!</definedName>
    <definedName name="Planilha_4TítCols">#REF!,#REF!</definedName>
    <definedName name="Planilha_5ÁreaTotal">#REF!,#REF!</definedName>
    <definedName name="Planilha_5TítCols">#REF!,#REF!</definedName>
    <definedName name="Planilha_6ÁreaTotal">#REF!,#REF!</definedName>
    <definedName name="Planilha_6TítCols">#REF!,#REF!</definedName>
    <definedName name="Planilha_7ÁreaTotal">#REF!,#REF!</definedName>
    <definedName name="Planilha_7TítCols">#REF!,#REF!</definedName>
    <definedName name="Planilha_8ÁreaTotal">#REF!,#REF!</definedName>
    <definedName name="Planilha_8TítCols">#REF!,#REF!</definedName>
    <definedName name="Planilha_9ÁreaTotal">#REF!,#REF!</definedName>
    <definedName name="Planilha_9TítCols">#REF!,#REF!</definedName>
    <definedName name="pm208A">#REF!</definedName>
    <definedName name="pm211A">#REF!</definedName>
    <definedName name="pm211B">#REF!</definedName>
    <definedName name="pm211C">#REF!</definedName>
    <definedName name="pm211D">#REF!</definedName>
    <definedName name="pm211E">#REF!</definedName>
    <definedName name="pm211F">#REF!</definedName>
    <definedName name="pm211G">#REF!</definedName>
    <definedName name="pm221A">#REF!</definedName>
    <definedName name="pm222A">#REF!</definedName>
    <definedName name="pm223A">#REF!</definedName>
    <definedName name="pr">#REF!</definedName>
    <definedName name="pra">#REF!</definedName>
    <definedName name="Pré_por">OFFSET(#REF!,0,0,COUNTA(#REF!)-1)</definedName>
    <definedName name="Prec_destacados">#REF!</definedName>
    <definedName name="Preço_por">OFFSET(#REF!,0,0,COUNTA(#REF!)-1)</definedName>
    <definedName name="Prefixado" localSheetId="2">OFFSET(OFFSET(#REF!,MATCH(#REF!,RE_DT_POR,0),0),0,0,ROWS(RE_DT_POR)-MATCH(#REF!,RE_DT_POR,0)+1)</definedName>
    <definedName name="Prefixado">OFFSET(OFFSET(#REF!,MATCH(#REF!,RE_DT_POR,0),0),0,0,ROWS(RE_DT_POR)-MATCH(#REF!,RE_DT_POR,0)+1)</definedName>
    <definedName name="previsão">#REF!</definedName>
    <definedName name="Principal">#REF!</definedName>
    <definedName name="PRINT">#REF!</definedName>
    <definedName name="Print_Area_MI">#REF!</definedName>
    <definedName name="Quadro_II___Base_monetária_e_componentes">#REF!</definedName>
    <definedName name="Quadro_VI___Meios_de_pagamento_e_componentes">#REF!</definedName>
    <definedName name="RE_DT_FIM" localSheetId="2">OFFSET(OFFSET(#REF!,MATCH(#REF!,RE_DT_POR,0),0),0,0,ROWS(RE_DT_POR)-MATCH(#REF!,RE_DT_POR,0)+1)</definedName>
    <definedName name="RE_DT_FIM">OFFSET(OFFSET(#REF!,MATCH(#REF!,RE_DT_POR,0),0),0,0,ROWS(RE_DT_POR)-MATCH(#REF!,RE_DT_POR,0)+1)</definedName>
    <definedName name="RE_DT_POR">OFFSET(#REF!,0,0,COUNTA(#REF!)-1)</definedName>
    <definedName name="realizado">#REF!</definedName>
    <definedName name="RECADM">#N/A</definedName>
    <definedName name="Requisitórios">#REF!</definedName>
    <definedName name="rer" hidden="1">#REF!</definedName>
    <definedName name="resumo">#REF!</definedName>
    <definedName name="ret">#REF!</definedName>
    <definedName name="REXT">#N/A</definedName>
    <definedName name="RGPS">#REF!</definedName>
    <definedName name="RODAPE1">#REF!</definedName>
    <definedName name="RODAPE6">#REF!</definedName>
    <definedName name="RODAPE7">#REF!</definedName>
    <definedName name="RODAPE8">#REF!</definedName>
    <definedName name="RSC">#REF!</definedName>
    <definedName name="Saldo_anterior">#REF!</definedName>
    <definedName name="Saldo_atual">#REF!</definedName>
    <definedName name="Saldos_em_final_de_período">#REF!</definedName>
    <definedName name="SalEduc">#REF!</definedName>
    <definedName name="SELIC">#REF!</definedName>
    <definedName name="SELIC_por">OFFSET(#REF!,0,0,COUNTA(#REF!)-1)</definedName>
    <definedName name="SelicAbr">#REF!</definedName>
    <definedName name="SelicAgo">#REF!</definedName>
    <definedName name="SelicDez">#REF!</definedName>
    <definedName name="SelicFev">#REF!</definedName>
    <definedName name="SelicJan">#REF!</definedName>
    <definedName name="SelicJul">#REF!</definedName>
    <definedName name="SelicJun">#REF!</definedName>
    <definedName name="SelicMai">#REF!</definedName>
    <definedName name="SelicMar">#REF!</definedName>
    <definedName name="SelicNov">#REF!</definedName>
    <definedName name="SelicOut">#REF!</definedName>
    <definedName name="SelicSet">#REF!</definedName>
    <definedName name="Semana1">#REF!</definedName>
    <definedName name="Semana2">#REF!</definedName>
    <definedName name="Semana3">#REF!</definedName>
    <definedName name="Semana4">#REF!</definedName>
    <definedName name="Semana5">#REF!</definedName>
    <definedName name="sencount" hidden="1">2</definedName>
    <definedName name="set">#REF!</definedName>
    <definedName name="sete">#REF!</definedName>
    <definedName name="setembro">#REF!</definedName>
    <definedName name="setembro08">#REF!</definedName>
    <definedName name="setembro2010">#REF!</definedName>
    <definedName name="ss">#REF!</definedName>
    <definedName name="sss" hidden="1">#REF!</definedName>
    <definedName name="sssssssss">#REF!</definedName>
    <definedName name="TABELA">#REF!</definedName>
    <definedName name="TABELÃOFILTRADO">#REF!</definedName>
    <definedName name="Taxa_câmbio">#REF!</definedName>
    <definedName name="TAXAJUROS">#REF!</definedName>
    <definedName name="TAXAJUROS1">#REF!</definedName>
    <definedName name="TAXAJUROS2">#REF!</definedName>
    <definedName name="TAXAJUROS3">#REF!</definedName>
    <definedName name="TAXAJUROS4">#REF!</definedName>
    <definedName name="teste">#REF!</definedName>
    <definedName name="text" localSheetId="2" hidden="1">{#N/A,#N/A,FALSE,"DIVIG"}</definedName>
    <definedName name="text" hidden="1">{#N/A,#N/A,FALSE,"DIVIG"}</definedName>
    <definedName name="text_1" localSheetId="2" hidden="1">{#N/A,#N/A,FALSE,"DIVIG"}</definedName>
    <definedName name="text_1" hidden="1">{#N/A,#N/A,FALSE,"DIVIG"}</definedName>
    <definedName name="TJLP_BNDES">#REF!</definedName>
    <definedName name="TR">#REF!</definedName>
    <definedName name="Último_Leilão">#REF!</definedName>
    <definedName name="ULTMES">#REF!</definedName>
    <definedName name="valores">#REF!</definedName>
    <definedName name="VERDE">#REF!</definedName>
    <definedName name="VERMELHO">#REF!</definedName>
    <definedName name="VOTOS">#REF!</definedName>
    <definedName name="wrn.DIESP." localSheetId="2" hidden="1">{#N/A,#N/A,FALSE,"DIESP"}</definedName>
    <definedName name="wrn.DIESP." hidden="1">{#N/A,#N/A,FALSE,"DIESP"}</definedName>
    <definedName name="wrn.DIESP._1" localSheetId="2" hidden="1">{#N/A,#N/A,FALSE,"DIESP"}</definedName>
    <definedName name="wrn.DIESP._1" hidden="1">{#N/A,#N/A,FALSE,"DIESP"}</definedName>
    <definedName name="wrn.DIVIG." localSheetId="2" hidden="1">{#N/A,#N/A,FALSE,"DIVIG"}</definedName>
    <definedName name="wrn.DIVIG." hidden="1">{#N/A,#N/A,FALSE,"DIVIG"}</definedName>
    <definedName name="wrn.DIVIG._1" localSheetId="2" hidden="1">{#N/A,#N/A,FALSE,"DIVIG"}</definedName>
    <definedName name="wrn.DIVIG._1" hidden="1">{#N/A,#N/A,FALSE,"DIVIG"}</definedName>
    <definedName name="wrn.IAA." localSheetId="2" hidden="1">{#N/A,#N/A,FALSE,"IAA - Controlados pelo BB"}</definedName>
    <definedName name="wrn.IAA." hidden="1">{#N/A,#N/A,FALSE,"IAA - Controlados pelo BB"}</definedName>
    <definedName name="wrn.IAA._1" localSheetId="2" hidden="1">{#N/A,#N/A,FALSE,"IAA - Controlados pelo BB"}</definedName>
    <definedName name="wrn.IAA._1" hidden="1">{#N/A,#N/A,FALSE,"IAA - Controlados pelo BB"}</definedName>
    <definedName name="wrn.TOTAL." localSheetId="2" hidden="1">{#N/A,#N/A,FALSE,"TOTALIZAÇÃO POR EMPRESA"}</definedName>
    <definedName name="wrn.TOTAL." hidden="1">{#N/A,#N/A,FALSE,"TOTALIZAÇÃO POR EMPRESA"}</definedName>
    <definedName name="wrn.TOTAL._1" localSheetId="2" hidden="1">{#N/A,#N/A,FALSE,"TOTALIZAÇÃO POR EMPRESA"}</definedName>
    <definedName name="wrn.TOTAL._1" hidden="1">{#N/A,#N/A,FALSE,"TOTALIZAÇÃO POR EMPRESA"}</definedName>
    <definedName name="www">#REF!</definedName>
    <definedName name="x" hidden="1">#REF!</definedName>
    <definedName name="xpto">#REF!</definedName>
    <definedName name="xx">#REF!</definedName>
    <definedName name="xxx">#REF!</definedName>
    <definedName name="XXXXXXXXXX">#REF!</definedName>
    <definedName name="XXXXXXXXXXXXX">#REF!</definedName>
    <definedName name="yy">#REF!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52" i="5" l="1"/>
  <c r="AE52" i="5"/>
  <c r="AC52" i="5"/>
  <c r="AA52" i="5"/>
  <c r="Y52" i="5"/>
  <c r="W52" i="5"/>
  <c r="AI51" i="5"/>
  <c r="AE51" i="5"/>
  <c r="AC51" i="5"/>
  <c r="AA51" i="5"/>
  <c r="Y51" i="5"/>
  <c r="W51" i="5"/>
  <c r="AI50" i="5"/>
  <c r="AE50" i="5"/>
  <c r="AC50" i="5"/>
  <c r="AA50" i="5"/>
  <c r="Y50" i="5"/>
  <c r="W50" i="5"/>
  <c r="AI49" i="5"/>
  <c r="AE49" i="5"/>
  <c r="AC49" i="5"/>
  <c r="AA49" i="5"/>
  <c r="Y49" i="5"/>
  <c r="W49" i="5"/>
  <c r="AI48" i="5"/>
  <c r="AE48" i="5"/>
  <c r="AC48" i="5"/>
  <c r="AA48" i="5"/>
  <c r="Y48" i="5"/>
  <c r="W48" i="5"/>
  <c r="AI47" i="5"/>
  <c r="AE47" i="5"/>
  <c r="AC47" i="5"/>
  <c r="AA47" i="5"/>
  <c r="Y47" i="5"/>
  <c r="W47" i="5"/>
  <c r="AI46" i="5"/>
  <c r="AE46" i="5"/>
  <c r="AC46" i="5"/>
  <c r="AA46" i="5"/>
  <c r="Y46" i="5"/>
  <c r="W46" i="5"/>
  <c r="AI45" i="5"/>
  <c r="AE45" i="5"/>
  <c r="AC45" i="5"/>
  <c r="AA45" i="5"/>
  <c r="Y45" i="5"/>
  <c r="W45" i="5"/>
  <c r="AI44" i="5"/>
  <c r="AE44" i="5"/>
  <c r="AC44" i="5"/>
  <c r="AA44" i="5"/>
  <c r="Y44" i="5"/>
  <c r="W44" i="5"/>
  <c r="AI43" i="5"/>
  <c r="AE43" i="5"/>
  <c r="AC43" i="5"/>
  <c r="AA43" i="5"/>
  <c r="Y43" i="5"/>
  <c r="W43" i="5"/>
  <c r="AI42" i="5"/>
  <c r="AE42" i="5"/>
  <c r="AC42" i="5"/>
  <c r="AA42" i="5"/>
  <c r="Y42" i="5"/>
  <c r="W42" i="5"/>
  <c r="AI41" i="5"/>
  <c r="AE41" i="5"/>
  <c r="AC41" i="5"/>
  <c r="AA41" i="5"/>
  <c r="Y41" i="5"/>
  <c r="W41" i="5"/>
  <c r="AI40" i="5"/>
  <c r="AE40" i="5"/>
  <c r="AC40" i="5"/>
  <c r="AA40" i="5"/>
  <c r="Y40" i="5"/>
  <c r="W40" i="5"/>
  <c r="AI39" i="5"/>
  <c r="AE39" i="5"/>
  <c r="AC39" i="5"/>
  <c r="AA39" i="5"/>
  <c r="Y39" i="5"/>
  <c r="W39" i="5"/>
  <c r="AI38" i="5"/>
  <c r="AE38" i="5"/>
  <c r="AC38" i="5"/>
  <c r="AA38" i="5"/>
  <c r="Y38" i="5"/>
  <c r="W38" i="5"/>
  <c r="AI37" i="5"/>
  <c r="AE37" i="5"/>
  <c r="AC37" i="5"/>
  <c r="AA37" i="5"/>
  <c r="Y37" i="5"/>
  <c r="W37" i="5"/>
  <c r="AI36" i="5"/>
  <c r="AE36" i="5"/>
  <c r="AC36" i="5"/>
  <c r="AA36" i="5"/>
  <c r="Y36" i="5"/>
  <c r="W36" i="5"/>
  <c r="AI35" i="5"/>
  <c r="AE35" i="5"/>
  <c r="AC35" i="5"/>
  <c r="AA35" i="5"/>
  <c r="Y35" i="5"/>
  <c r="W35" i="5"/>
  <c r="AI34" i="5"/>
  <c r="AE34" i="5"/>
  <c r="AC34" i="5"/>
  <c r="AA34" i="5"/>
  <c r="Y34" i="5"/>
  <c r="W34" i="5"/>
  <c r="AI33" i="5"/>
  <c r="AE33" i="5"/>
  <c r="AC33" i="5"/>
  <c r="AA33" i="5"/>
  <c r="Y33" i="5"/>
  <c r="W33" i="5"/>
  <c r="AI32" i="5"/>
  <c r="AE32" i="5"/>
  <c r="AC32" i="5"/>
  <c r="AA32" i="5"/>
  <c r="Y32" i="5"/>
  <c r="W32" i="5"/>
  <c r="AI31" i="5"/>
  <c r="AE31" i="5"/>
  <c r="AC31" i="5"/>
  <c r="AA31" i="5"/>
  <c r="Y31" i="5"/>
  <c r="W31" i="5"/>
  <c r="AI30" i="5"/>
  <c r="AE30" i="5"/>
  <c r="AC30" i="5"/>
  <c r="AA30" i="5"/>
  <c r="Y30" i="5"/>
  <c r="W30" i="5"/>
  <c r="AI29" i="5"/>
  <c r="AE29" i="5"/>
  <c r="AC29" i="5"/>
  <c r="AA29" i="5"/>
  <c r="Y29" i="5"/>
  <c r="W29" i="5"/>
  <c r="AI28" i="5"/>
  <c r="AE28" i="5"/>
  <c r="AC28" i="5"/>
  <c r="AA28" i="5"/>
  <c r="Y28" i="5"/>
  <c r="W28" i="5"/>
  <c r="AI27" i="5"/>
  <c r="AE27" i="5"/>
  <c r="AC27" i="5"/>
  <c r="AA27" i="5"/>
  <c r="Y27" i="5"/>
  <c r="W27" i="5"/>
  <c r="AI26" i="5"/>
  <c r="AE26" i="5"/>
  <c r="AC26" i="5"/>
  <c r="AA26" i="5"/>
  <c r="Y26" i="5"/>
  <c r="W26" i="5"/>
  <c r="AI25" i="5"/>
  <c r="AE25" i="5"/>
  <c r="AC25" i="5"/>
  <c r="AA25" i="5"/>
  <c r="Y25" i="5"/>
  <c r="W25" i="5"/>
  <c r="AI24" i="5"/>
  <c r="AE24" i="5"/>
  <c r="AC24" i="5"/>
  <c r="AA24" i="5"/>
  <c r="Y24" i="5"/>
  <c r="W24" i="5"/>
  <c r="AI23" i="5"/>
  <c r="AE23" i="5"/>
  <c r="AC23" i="5"/>
  <c r="AA23" i="5"/>
  <c r="Y23" i="5"/>
  <c r="W23" i="5"/>
  <c r="AE22" i="5"/>
  <c r="AE21" i="5"/>
  <c r="AE20" i="5"/>
  <c r="AE19" i="5"/>
  <c r="AE18" i="5"/>
  <c r="O52" i="5"/>
  <c r="M52" i="5"/>
  <c r="K52" i="5"/>
  <c r="I52" i="5"/>
  <c r="O51" i="5"/>
  <c r="M51" i="5"/>
  <c r="K51" i="5"/>
  <c r="I51" i="5"/>
  <c r="O50" i="5"/>
  <c r="M50" i="5"/>
  <c r="K50" i="5"/>
  <c r="I50" i="5"/>
  <c r="O49" i="5"/>
  <c r="M49" i="5"/>
  <c r="K49" i="5"/>
  <c r="I49" i="5"/>
  <c r="O48" i="5"/>
  <c r="M48" i="5"/>
  <c r="K48" i="5"/>
  <c r="I48" i="5"/>
  <c r="O47" i="5"/>
  <c r="M47" i="5"/>
  <c r="K47" i="5"/>
  <c r="I47" i="5"/>
  <c r="O46" i="5"/>
  <c r="M46" i="5"/>
  <c r="K46" i="5"/>
  <c r="I46" i="5"/>
  <c r="O45" i="5"/>
  <c r="M45" i="5"/>
  <c r="K45" i="5"/>
  <c r="I45" i="5"/>
  <c r="O44" i="5"/>
  <c r="M44" i="5"/>
  <c r="K44" i="5"/>
  <c r="I44" i="5"/>
  <c r="O43" i="5"/>
  <c r="M43" i="5"/>
  <c r="K43" i="5"/>
  <c r="I43" i="5"/>
  <c r="O42" i="5"/>
  <c r="M42" i="5"/>
  <c r="K42" i="5"/>
  <c r="I42" i="5"/>
  <c r="O41" i="5"/>
  <c r="M41" i="5"/>
  <c r="K41" i="5"/>
  <c r="I41" i="5"/>
  <c r="O40" i="5"/>
  <c r="M40" i="5"/>
  <c r="K40" i="5"/>
  <c r="I40" i="5"/>
  <c r="O39" i="5"/>
  <c r="M39" i="5"/>
  <c r="K39" i="5"/>
  <c r="I39" i="5"/>
  <c r="O38" i="5"/>
  <c r="M38" i="5"/>
  <c r="K38" i="5"/>
  <c r="I38" i="5"/>
  <c r="O37" i="5"/>
  <c r="M37" i="5"/>
  <c r="K37" i="5"/>
  <c r="I37" i="5"/>
  <c r="O36" i="5"/>
  <c r="M36" i="5"/>
  <c r="K36" i="5"/>
  <c r="I36" i="5"/>
  <c r="O35" i="5"/>
  <c r="M35" i="5"/>
  <c r="K35" i="5"/>
  <c r="I35" i="5"/>
  <c r="O34" i="5"/>
  <c r="M34" i="5"/>
  <c r="K34" i="5"/>
  <c r="I34" i="5"/>
  <c r="O33" i="5"/>
  <c r="M33" i="5"/>
  <c r="K33" i="5"/>
  <c r="I33" i="5"/>
  <c r="O32" i="5"/>
  <c r="M32" i="5"/>
  <c r="K32" i="5"/>
  <c r="I32" i="5"/>
  <c r="O31" i="5"/>
  <c r="M31" i="5"/>
  <c r="K31" i="5"/>
  <c r="I31" i="5"/>
  <c r="O30" i="5"/>
  <c r="M30" i="5"/>
  <c r="K30" i="5"/>
  <c r="I30" i="5"/>
  <c r="O29" i="5"/>
  <c r="M29" i="5"/>
  <c r="K29" i="5"/>
  <c r="I29" i="5"/>
  <c r="O28" i="5"/>
  <c r="M28" i="5"/>
  <c r="K28" i="5"/>
  <c r="I28" i="5"/>
  <c r="O27" i="5"/>
  <c r="M27" i="5"/>
  <c r="K27" i="5"/>
  <c r="I27" i="5"/>
  <c r="O26" i="5"/>
  <c r="M26" i="5"/>
  <c r="K26" i="5"/>
  <c r="I26" i="5"/>
  <c r="O25" i="5"/>
  <c r="M25" i="5"/>
  <c r="K25" i="5"/>
  <c r="I25" i="5"/>
  <c r="O24" i="5"/>
  <c r="M24" i="5"/>
  <c r="K24" i="5"/>
  <c r="I24" i="5"/>
  <c r="O23" i="5"/>
  <c r="M23" i="5"/>
  <c r="K23" i="5"/>
  <c r="I23" i="5"/>
  <c r="AI131" i="4"/>
  <c r="AC131" i="4"/>
  <c r="AA131" i="4"/>
  <c r="Y131" i="4"/>
  <c r="W131" i="4"/>
  <c r="AI130" i="4"/>
  <c r="AC130" i="4"/>
  <c r="AA130" i="4"/>
  <c r="Y130" i="4"/>
  <c r="W130" i="4"/>
  <c r="AI129" i="4"/>
  <c r="AC129" i="4"/>
  <c r="AA129" i="4"/>
  <c r="Y129" i="4"/>
  <c r="W129" i="4"/>
  <c r="AI128" i="4"/>
  <c r="AC128" i="4"/>
  <c r="AA128" i="4"/>
  <c r="Y128" i="4"/>
  <c r="W128" i="4"/>
  <c r="AI127" i="4"/>
  <c r="AC127" i="4"/>
  <c r="AA127" i="4"/>
  <c r="Y127" i="4"/>
  <c r="W127" i="4"/>
  <c r="AI126" i="4"/>
  <c r="AC126" i="4"/>
  <c r="AA126" i="4"/>
  <c r="Y126" i="4"/>
  <c r="W126" i="4"/>
  <c r="AI125" i="4"/>
  <c r="AC125" i="4"/>
  <c r="AA125" i="4"/>
  <c r="Y125" i="4"/>
  <c r="W125" i="4"/>
  <c r="AI124" i="4"/>
  <c r="AC124" i="4"/>
  <c r="AA124" i="4"/>
  <c r="Y124" i="4"/>
  <c r="W124" i="4"/>
  <c r="AI123" i="4"/>
  <c r="AC123" i="4"/>
  <c r="AA123" i="4"/>
  <c r="Y123" i="4"/>
  <c r="W123" i="4"/>
  <c r="AI122" i="4"/>
  <c r="AC122" i="4"/>
  <c r="AA122" i="4"/>
  <c r="Y122" i="4"/>
  <c r="W122" i="4"/>
  <c r="AI121" i="4"/>
  <c r="AC121" i="4"/>
  <c r="AA121" i="4"/>
  <c r="Y121" i="4"/>
  <c r="W121" i="4"/>
  <c r="AI120" i="4"/>
  <c r="AC120" i="4"/>
  <c r="AA120" i="4"/>
  <c r="Y120" i="4"/>
  <c r="W120" i="4"/>
  <c r="AI119" i="4"/>
  <c r="AC119" i="4"/>
  <c r="AA119" i="4"/>
  <c r="Y119" i="4"/>
  <c r="W119" i="4"/>
  <c r="AI118" i="4"/>
  <c r="AC118" i="4"/>
  <c r="AA118" i="4"/>
  <c r="Y118" i="4"/>
  <c r="W118" i="4"/>
  <c r="AI117" i="4"/>
  <c r="AC117" i="4"/>
  <c r="AA117" i="4"/>
  <c r="Y117" i="4"/>
  <c r="W117" i="4"/>
  <c r="AI116" i="4"/>
  <c r="AC116" i="4"/>
  <c r="AA116" i="4"/>
  <c r="Y116" i="4"/>
  <c r="W116" i="4"/>
  <c r="AI115" i="4"/>
  <c r="AC115" i="4"/>
  <c r="AA115" i="4"/>
  <c r="Y115" i="4"/>
  <c r="W115" i="4"/>
  <c r="AI114" i="4"/>
  <c r="AC114" i="4"/>
  <c r="AA114" i="4"/>
  <c r="Y114" i="4"/>
  <c r="W114" i="4"/>
  <c r="AI113" i="4"/>
  <c r="AC113" i="4"/>
  <c r="AA113" i="4"/>
  <c r="Y113" i="4"/>
  <c r="W113" i="4"/>
  <c r="AI112" i="4"/>
  <c r="AC112" i="4"/>
  <c r="AA112" i="4"/>
  <c r="Y112" i="4"/>
  <c r="W112" i="4"/>
  <c r="AI111" i="4"/>
  <c r="AC111" i="4"/>
  <c r="AA111" i="4"/>
  <c r="Y111" i="4"/>
  <c r="W111" i="4"/>
  <c r="AI110" i="4"/>
  <c r="AC110" i="4"/>
  <c r="AA110" i="4"/>
  <c r="Y110" i="4"/>
  <c r="W110" i="4"/>
  <c r="AI109" i="4"/>
  <c r="AC109" i="4"/>
  <c r="AA109" i="4"/>
  <c r="Y109" i="4"/>
  <c r="W109" i="4"/>
  <c r="AI108" i="4"/>
  <c r="AC108" i="4"/>
  <c r="AA108" i="4"/>
  <c r="Y108" i="4"/>
  <c r="W108" i="4"/>
  <c r="AI107" i="4"/>
  <c r="AC107" i="4"/>
  <c r="AA107" i="4"/>
  <c r="Y107" i="4"/>
  <c r="W107" i="4"/>
  <c r="AI106" i="4"/>
  <c r="AC106" i="4"/>
  <c r="AA106" i="4"/>
  <c r="Y106" i="4"/>
  <c r="W106" i="4"/>
  <c r="AI105" i="4"/>
  <c r="AC105" i="4"/>
  <c r="AA105" i="4"/>
  <c r="Y105" i="4"/>
  <c r="W105" i="4"/>
  <c r="AI104" i="4"/>
  <c r="AC104" i="4"/>
  <c r="AA104" i="4"/>
  <c r="Y104" i="4"/>
  <c r="W104" i="4"/>
  <c r="AI103" i="4"/>
  <c r="AC103" i="4"/>
  <c r="AA103" i="4"/>
  <c r="Y103" i="4"/>
  <c r="W103" i="4"/>
  <c r="AI102" i="4"/>
  <c r="AC102" i="4"/>
  <c r="AA102" i="4"/>
  <c r="Y102" i="4"/>
  <c r="W102" i="4"/>
  <c r="AI101" i="4"/>
  <c r="AC101" i="4"/>
  <c r="AA101" i="4"/>
  <c r="Y101" i="4"/>
  <c r="W101" i="4"/>
  <c r="AI100" i="4"/>
  <c r="AC100" i="4"/>
  <c r="AA100" i="4"/>
  <c r="Y100" i="4"/>
  <c r="W100" i="4"/>
  <c r="AI99" i="4"/>
  <c r="AC99" i="4"/>
  <c r="AA99" i="4"/>
  <c r="Y99" i="4"/>
  <c r="W99" i="4"/>
  <c r="AI98" i="4"/>
  <c r="AC98" i="4"/>
  <c r="AA98" i="4"/>
  <c r="Y98" i="4"/>
  <c r="W98" i="4"/>
  <c r="AI97" i="4"/>
  <c r="AC97" i="4"/>
  <c r="AA97" i="4"/>
  <c r="Y97" i="4"/>
  <c r="W97" i="4"/>
  <c r="AI96" i="4"/>
  <c r="AC96" i="4"/>
  <c r="AA96" i="4"/>
  <c r="Y96" i="4"/>
  <c r="W96" i="4"/>
  <c r="AI95" i="4"/>
  <c r="AC95" i="4"/>
  <c r="AA95" i="4"/>
  <c r="Y95" i="4"/>
  <c r="W95" i="4"/>
  <c r="AI94" i="4"/>
  <c r="AC94" i="4"/>
  <c r="AA94" i="4"/>
  <c r="Y94" i="4"/>
  <c r="W94" i="4"/>
  <c r="AI93" i="4"/>
  <c r="AC93" i="4"/>
  <c r="AA93" i="4"/>
  <c r="Y93" i="4"/>
  <c r="W93" i="4"/>
  <c r="AI92" i="4"/>
  <c r="AC92" i="4"/>
  <c r="AA92" i="4"/>
  <c r="Y92" i="4"/>
  <c r="W92" i="4"/>
  <c r="AI91" i="4"/>
  <c r="AC91" i="4"/>
  <c r="AA91" i="4"/>
  <c r="Y91" i="4"/>
  <c r="W91" i="4"/>
  <c r="AI90" i="4"/>
  <c r="AC90" i="4"/>
  <c r="AA90" i="4"/>
  <c r="Y90" i="4"/>
  <c r="W90" i="4"/>
  <c r="AI89" i="4"/>
  <c r="AC89" i="4"/>
  <c r="AA89" i="4"/>
  <c r="Y89" i="4"/>
  <c r="W89" i="4"/>
  <c r="AI88" i="4"/>
  <c r="AC88" i="4"/>
  <c r="AA88" i="4"/>
  <c r="Y88" i="4"/>
  <c r="W88" i="4"/>
  <c r="AI87" i="4"/>
  <c r="AC87" i="4"/>
  <c r="AA87" i="4"/>
  <c r="Y87" i="4"/>
  <c r="W87" i="4"/>
  <c r="AI86" i="4"/>
  <c r="AC86" i="4"/>
  <c r="AA86" i="4"/>
  <c r="Y86" i="4"/>
  <c r="W86" i="4"/>
  <c r="AI85" i="4"/>
  <c r="AC85" i="4"/>
  <c r="AA85" i="4"/>
  <c r="Y85" i="4"/>
  <c r="W85" i="4"/>
  <c r="AI84" i="4"/>
  <c r="AC84" i="4"/>
  <c r="AA84" i="4"/>
  <c r="Y84" i="4"/>
  <c r="W84" i="4"/>
  <c r="AI83" i="4"/>
  <c r="AC83" i="4"/>
  <c r="AA83" i="4"/>
  <c r="Y83" i="4"/>
  <c r="W83" i="4"/>
  <c r="AI82" i="4"/>
  <c r="AC82" i="4"/>
  <c r="AA82" i="4"/>
  <c r="Y82" i="4"/>
  <c r="W82" i="4"/>
  <c r="AI81" i="4"/>
  <c r="AC81" i="4"/>
  <c r="AA81" i="4"/>
  <c r="Y81" i="4"/>
  <c r="W81" i="4"/>
  <c r="AI80" i="4"/>
  <c r="AC80" i="4"/>
  <c r="AA80" i="4"/>
  <c r="Y80" i="4"/>
  <c r="W80" i="4"/>
  <c r="AI79" i="4"/>
  <c r="AC79" i="4"/>
  <c r="AA79" i="4"/>
  <c r="Y79" i="4"/>
  <c r="W79" i="4"/>
  <c r="AI78" i="4"/>
  <c r="AC78" i="4"/>
  <c r="AA78" i="4"/>
  <c r="Y78" i="4"/>
  <c r="W78" i="4"/>
  <c r="AI77" i="4"/>
  <c r="AC77" i="4"/>
  <c r="AA77" i="4"/>
  <c r="Y77" i="4"/>
  <c r="W77" i="4"/>
  <c r="AI76" i="4"/>
  <c r="AC76" i="4"/>
  <c r="AA76" i="4"/>
  <c r="Y76" i="4"/>
  <c r="W76" i="4"/>
  <c r="AI75" i="4"/>
  <c r="AC75" i="4"/>
  <c r="AA75" i="4"/>
  <c r="Y75" i="4"/>
  <c r="W75" i="4"/>
  <c r="AI74" i="4"/>
  <c r="AC74" i="4"/>
  <c r="AA74" i="4"/>
  <c r="Y74" i="4"/>
  <c r="W74" i="4"/>
  <c r="AI73" i="4"/>
  <c r="AC73" i="4"/>
  <c r="AA73" i="4"/>
  <c r="Y73" i="4"/>
  <c r="W73" i="4"/>
  <c r="AI72" i="4"/>
  <c r="AC72" i="4"/>
  <c r="AA72" i="4"/>
  <c r="Y72" i="4"/>
  <c r="W72" i="4"/>
  <c r="AI71" i="4"/>
  <c r="AC71" i="4"/>
  <c r="AA71" i="4"/>
  <c r="Y71" i="4"/>
  <c r="W71" i="4"/>
  <c r="AI70" i="4"/>
  <c r="AC70" i="4"/>
  <c r="AA70" i="4"/>
  <c r="Y70" i="4"/>
  <c r="W70" i="4"/>
  <c r="AI69" i="4"/>
  <c r="AC69" i="4"/>
  <c r="AA69" i="4"/>
  <c r="Y69" i="4"/>
  <c r="W69" i="4"/>
  <c r="AI68" i="4"/>
  <c r="AC68" i="4"/>
  <c r="AA68" i="4"/>
  <c r="Y68" i="4"/>
  <c r="W68" i="4"/>
  <c r="AI67" i="4"/>
  <c r="AC67" i="4"/>
  <c r="AA67" i="4"/>
  <c r="Y67" i="4"/>
  <c r="W67" i="4"/>
  <c r="AI66" i="4"/>
  <c r="AC66" i="4"/>
  <c r="AA66" i="4"/>
  <c r="Y66" i="4"/>
  <c r="W66" i="4"/>
  <c r="AI65" i="4"/>
  <c r="AC65" i="4"/>
  <c r="AA65" i="4"/>
  <c r="Y65" i="4"/>
  <c r="W65" i="4"/>
  <c r="AI64" i="4"/>
  <c r="AC64" i="4"/>
  <c r="AA64" i="4"/>
  <c r="Y64" i="4"/>
  <c r="W64" i="4"/>
  <c r="AI63" i="4"/>
  <c r="AC63" i="4"/>
  <c r="AA63" i="4"/>
  <c r="Y63" i="4"/>
  <c r="W63" i="4"/>
  <c r="AI62" i="4"/>
  <c r="AC62" i="4"/>
  <c r="AA62" i="4"/>
  <c r="Y62" i="4"/>
  <c r="W62" i="4"/>
  <c r="AI61" i="4"/>
  <c r="AC61" i="4"/>
  <c r="AA61" i="4"/>
  <c r="Y61" i="4"/>
  <c r="W61" i="4"/>
  <c r="AI60" i="4"/>
  <c r="AC60" i="4"/>
  <c r="AA60" i="4"/>
  <c r="Y60" i="4"/>
  <c r="W60" i="4"/>
  <c r="AI59" i="4"/>
  <c r="AC59" i="4"/>
  <c r="AA59" i="4"/>
  <c r="Y59" i="4"/>
  <c r="W59" i="4"/>
  <c r="AI58" i="4"/>
  <c r="AC58" i="4"/>
  <c r="AA58" i="4"/>
  <c r="Y58" i="4"/>
  <c r="W58" i="4"/>
  <c r="AI57" i="4"/>
  <c r="AC57" i="4"/>
  <c r="AA57" i="4"/>
  <c r="Y57" i="4"/>
  <c r="W57" i="4"/>
  <c r="AI56" i="4"/>
  <c r="AC56" i="4"/>
  <c r="AA56" i="4"/>
  <c r="Y56" i="4"/>
  <c r="W56" i="4"/>
  <c r="AI55" i="4"/>
  <c r="AC55" i="4"/>
  <c r="AA55" i="4"/>
  <c r="Y55" i="4"/>
  <c r="W55" i="4"/>
  <c r="AI54" i="4"/>
  <c r="AC54" i="4"/>
  <c r="AA54" i="4"/>
  <c r="Y54" i="4"/>
  <c r="W54" i="4"/>
  <c r="AI53" i="4"/>
  <c r="AC53" i="4"/>
  <c r="AA53" i="4"/>
  <c r="Y53" i="4"/>
  <c r="W53" i="4"/>
  <c r="AI52" i="4"/>
  <c r="AC52" i="4"/>
  <c r="AA52" i="4"/>
  <c r="Y52" i="4"/>
  <c r="W52" i="4"/>
  <c r="AI51" i="4"/>
  <c r="AC51" i="4"/>
  <c r="AA51" i="4"/>
  <c r="Y51" i="4"/>
  <c r="W51" i="4"/>
  <c r="AI50" i="4"/>
  <c r="AC50" i="4"/>
  <c r="AA50" i="4"/>
  <c r="Y50" i="4"/>
  <c r="W50" i="4"/>
  <c r="AI49" i="4"/>
  <c r="AC49" i="4"/>
  <c r="AA49" i="4"/>
  <c r="Y49" i="4"/>
  <c r="W49" i="4"/>
  <c r="AI48" i="4"/>
  <c r="AC48" i="4"/>
  <c r="AA48" i="4"/>
  <c r="Y48" i="4"/>
  <c r="W48" i="4"/>
  <c r="AI47" i="4"/>
  <c r="AC47" i="4"/>
  <c r="AA47" i="4"/>
  <c r="Y47" i="4"/>
  <c r="W47" i="4"/>
  <c r="AI46" i="4"/>
  <c r="AC46" i="4"/>
  <c r="AA46" i="4"/>
  <c r="Y46" i="4"/>
  <c r="W46" i="4"/>
  <c r="AI45" i="4"/>
  <c r="AC45" i="4"/>
  <c r="AA45" i="4"/>
  <c r="Y45" i="4"/>
  <c r="W45" i="4"/>
  <c r="AI44" i="4"/>
  <c r="AC44" i="4"/>
  <c r="AA44" i="4"/>
  <c r="Y44" i="4"/>
  <c r="W44" i="4"/>
  <c r="AI43" i="4"/>
  <c r="AC43" i="4"/>
  <c r="AA43" i="4"/>
  <c r="Y43" i="4"/>
  <c r="W43" i="4"/>
  <c r="AI42" i="4"/>
  <c r="AC42" i="4"/>
  <c r="AA42" i="4"/>
  <c r="Y42" i="4"/>
  <c r="W42" i="4"/>
  <c r="AI41" i="4"/>
  <c r="AC41" i="4"/>
  <c r="AA41" i="4"/>
  <c r="Y41" i="4"/>
  <c r="W41" i="4"/>
  <c r="AI40" i="4"/>
  <c r="AC40" i="4"/>
  <c r="AA40" i="4"/>
  <c r="Y40" i="4"/>
  <c r="W40" i="4"/>
  <c r="AI39" i="4"/>
  <c r="AC39" i="4"/>
  <c r="AA39" i="4"/>
  <c r="Y39" i="4"/>
  <c r="W39" i="4"/>
  <c r="AI38" i="4"/>
  <c r="AC38" i="4"/>
  <c r="AA38" i="4"/>
  <c r="Y38" i="4"/>
  <c r="W38" i="4"/>
  <c r="AI37" i="4"/>
  <c r="AC37" i="4"/>
  <c r="AA37" i="4"/>
  <c r="Y37" i="4"/>
  <c r="W37" i="4"/>
  <c r="AI36" i="4"/>
  <c r="AC36" i="4"/>
  <c r="AA36" i="4"/>
  <c r="Y36" i="4"/>
  <c r="W36" i="4"/>
  <c r="AI35" i="4"/>
  <c r="AC35" i="4"/>
  <c r="AA35" i="4"/>
  <c r="Y35" i="4"/>
  <c r="W35" i="4"/>
  <c r="AI34" i="4"/>
  <c r="AC34" i="4"/>
  <c r="AA34" i="4"/>
  <c r="Y34" i="4"/>
  <c r="W34" i="4"/>
  <c r="AI33" i="4"/>
  <c r="AC33" i="4"/>
  <c r="AA33" i="4"/>
  <c r="Y33" i="4"/>
  <c r="W33" i="4"/>
  <c r="AI32" i="4"/>
  <c r="AC32" i="4"/>
  <c r="AA32" i="4"/>
  <c r="Y32" i="4"/>
  <c r="W32" i="4"/>
  <c r="AI31" i="4"/>
  <c r="AC31" i="4"/>
  <c r="AA31" i="4"/>
  <c r="Y31" i="4"/>
  <c r="W31" i="4"/>
  <c r="AI30" i="4"/>
  <c r="AC30" i="4"/>
  <c r="AA30" i="4"/>
  <c r="Y30" i="4"/>
  <c r="W30" i="4"/>
  <c r="AI29" i="4"/>
  <c r="AC29" i="4"/>
  <c r="AA29" i="4"/>
  <c r="Y29" i="4"/>
  <c r="W29" i="4"/>
  <c r="AI28" i="4"/>
  <c r="AC28" i="4"/>
  <c r="AA28" i="4"/>
  <c r="Y28" i="4"/>
  <c r="W28" i="4"/>
  <c r="AI27" i="4"/>
  <c r="AC27" i="4"/>
  <c r="AA27" i="4"/>
  <c r="Y27" i="4"/>
  <c r="W27" i="4"/>
  <c r="AI26" i="4"/>
  <c r="AC26" i="4"/>
  <c r="AA26" i="4"/>
  <c r="Y26" i="4"/>
  <c r="W26" i="4"/>
  <c r="AI25" i="4"/>
  <c r="AC25" i="4"/>
  <c r="AA25" i="4"/>
  <c r="Y25" i="4"/>
  <c r="W25" i="4"/>
  <c r="AI24" i="4"/>
  <c r="AC24" i="4"/>
  <c r="AA24" i="4"/>
  <c r="Y24" i="4"/>
  <c r="W24" i="4"/>
  <c r="AI23" i="4"/>
  <c r="AC23" i="4"/>
  <c r="AA23" i="4"/>
  <c r="Y23" i="4"/>
  <c r="W23" i="4"/>
  <c r="AI22" i="4"/>
  <c r="AC22" i="4"/>
  <c r="AA22" i="4"/>
  <c r="Y22" i="4"/>
  <c r="W22" i="4"/>
  <c r="AI21" i="4"/>
  <c r="AC21" i="4"/>
  <c r="AA21" i="4"/>
  <c r="Y21" i="4"/>
  <c r="W21" i="4"/>
  <c r="AI20" i="4"/>
  <c r="AC20" i="4"/>
  <c r="AA20" i="4"/>
  <c r="Y20" i="4"/>
  <c r="W20" i="4"/>
  <c r="AI19" i="4"/>
  <c r="AC19" i="4"/>
  <c r="AA19" i="4"/>
  <c r="Y19" i="4"/>
  <c r="W19" i="4"/>
  <c r="AI18" i="4"/>
  <c r="AC18" i="4"/>
  <c r="AA18" i="4"/>
  <c r="Y18" i="4"/>
  <c r="W18" i="4"/>
  <c r="AI17" i="4"/>
  <c r="AC17" i="4"/>
  <c r="AA17" i="4"/>
  <c r="Y17" i="4"/>
  <c r="W17" i="4"/>
  <c r="AI16" i="4"/>
  <c r="AC16" i="4"/>
  <c r="AA16" i="4"/>
  <c r="Y16" i="4"/>
  <c r="W16" i="4"/>
  <c r="AI15" i="4"/>
  <c r="AC15" i="4"/>
  <c r="AA15" i="4"/>
  <c r="Y15" i="4"/>
  <c r="W15" i="4"/>
  <c r="AI14" i="4"/>
  <c r="AC14" i="4"/>
  <c r="AA14" i="4"/>
  <c r="Y14" i="4"/>
  <c r="W14" i="4"/>
  <c r="AI13" i="4"/>
  <c r="AC13" i="4"/>
  <c r="AA13" i="4"/>
  <c r="Y13" i="4"/>
  <c r="W13" i="4"/>
  <c r="AI12" i="4"/>
  <c r="AC12" i="4"/>
  <c r="AA12" i="4"/>
  <c r="Y12" i="4"/>
  <c r="W12" i="4"/>
  <c r="AI11" i="4"/>
  <c r="AC11" i="4"/>
  <c r="AA11" i="4"/>
  <c r="Y11" i="4"/>
  <c r="W11" i="4"/>
  <c r="AI10" i="4"/>
  <c r="AC10" i="4"/>
  <c r="AA10" i="4"/>
  <c r="Y10" i="4"/>
  <c r="W10" i="4"/>
  <c r="AI9" i="4"/>
  <c r="AC9" i="4"/>
  <c r="AA9" i="4"/>
  <c r="Y9" i="4"/>
  <c r="W9" i="4"/>
  <c r="O130" i="4"/>
  <c r="M130" i="4"/>
  <c r="K130" i="4"/>
  <c r="I130" i="4"/>
  <c r="O129" i="4"/>
  <c r="M129" i="4"/>
  <c r="K129" i="4"/>
  <c r="I129" i="4"/>
  <c r="O128" i="4"/>
  <c r="M128" i="4"/>
  <c r="K128" i="4"/>
  <c r="I128" i="4"/>
  <c r="O127" i="4"/>
  <c r="M127" i="4"/>
  <c r="K127" i="4"/>
  <c r="I127" i="4"/>
  <c r="O126" i="4"/>
  <c r="M126" i="4"/>
  <c r="K126" i="4"/>
  <c r="I126" i="4"/>
  <c r="O125" i="4"/>
  <c r="M125" i="4"/>
  <c r="K125" i="4"/>
  <c r="I125" i="4"/>
  <c r="O124" i="4"/>
  <c r="M124" i="4"/>
  <c r="K124" i="4"/>
  <c r="I124" i="4"/>
  <c r="O123" i="4"/>
  <c r="M123" i="4"/>
  <c r="K123" i="4"/>
  <c r="I123" i="4"/>
  <c r="O122" i="4"/>
  <c r="M122" i="4"/>
  <c r="K122" i="4"/>
  <c r="I122" i="4"/>
  <c r="O121" i="4"/>
  <c r="M121" i="4"/>
  <c r="K121" i="4"/>
  <c r="I121" i="4"/>
  <c r="O120" i="4"/>
  <c r="M120" i="4"/>
  <c r="K120" i="4"/>
  <c r="I120" i="4"/>
  <c r="O119" i="4"/>
  <c r="M119" i="4"/>
  <c r="K119" i="4"/>
  <c r="I119" i="4"/>
  <c r="O118" i="4"/>
  <c r="M118" i="4"/>
  <c r="K118" i="4"/>
  <c r="I118" i="4"/>
  <c r="O117" i="4"/>
  <c r="M117" i="4"/>
  <c r="K117" i="4"/>
  <c r="I117" i="4"/>
  <c r="O116" i="4"/>
  <c r="M116" i="4"/>
  <c r="K116" i="4"/>
  <c r="I116" i="4"/>
  <c r="O115" i="4"/>
  <c r="M115" i="4"/>
  <c r="K115" i="4"/>
  <c r="I115" i="4"/>
  <c r="O114" i="4"/>
  <c r="M114" i="4"/>
  <c r="K114" i="4"/>
  <c r="I114" i="4"/>
  <c r="O113" i="4"/>
  <c r="M113" i="4"/>
  <c r="K113" i="4"/>
  <c r="I113" i="4"/>
  <c r="O112" i="4"/>
  <c r="M112" i="4"/>
  <c r="K112" i="4"/>
  <c r="I112" i="4"/>
  <c r="O111" i="4"/>
  <c r="M111" i="4"/>
  <c r="K111" i="4"/>
  <c r="I111" i="4"/>
  <c r="O110" i="4"/>
  <c r="M110" i="4"/>
  <c r="K110" i="4"/>
  <c r="I110" i="4"/>
  <c r="O109" i="4"/>
  <c r="M109" i="4"/>
  <c r="K109" i="4"/>
  <c r="I109" i="4"/>
  <c r="O108" i="4"/>
  <c r="M108" i="4"/>
  <c r="K108" i="4"/>
  <c r="I108" i="4"/>
  <c r="O107" i="4"/>
  <c r="M107" i="4"/>
  <c r="K107" i="4"/>
  <c r="I107" i="4"/>
  <c r="O106" i="4"/>
  <c r="M106" i="4"/>
  <c r="K106" i="4"/>
  <c r="I106" i="4"/>
  <c r="O105" i="4"/>
  <c r="M105" i="4"/>
  <c r="K105" i="4"/>
  <c r="I105" i="4"/>
  <c r="O104" i="4"/>
  <c r="M104" i="4"/>
  <c r="K104" i="4"/>
  <c r="I104" i="4"/>
  <c r="O103" i="4"/>
  <c r="M103" i="4"/>
  <c r="K103" i="4"/>
  <c r="I103" i="4"/>
  <c r="O102" i="4"/>
  <c r="M102" i="4"/>
  <c r="K102" i="4"/>
  <c r="I102" i="4"/>
  <c r="O101" i="4"/>
  <c r="M101" i="4"/>
  <c r="K101" i="4"/>
  <c r="I101" i="4"/>
  <c r="O100" i="4"/>
  <c r="M100" i="4"/>
  <c r="K100" i="4"/>
  <c r="I100" i="4"/>
  <c r="O99" i="4"/>
  <c r="M99" i="4"/>
  <c r="K99" i="4"/>
  <c r="I99" i="4"/>
  <c r="O98" i="4"/>
  <c r="M98" i="4"/>
  <c r="K98" i="4"/>
  <c r="I98" i="4"/>
  <c r="O97" i="4"/>
  <c r="M97" i="4"/>
  <c r="K97" i="4"/>
  <c r="I97" i="4"/>
  <c r="O96" i="4"/>
  <c r="M96" i="4"/>
  <c r="K96" i="4"/>
  <c r="I96" i="4"/>
  <c r="O95" i="4"/>
  <c r="M95" i="4"/>
  <c r="K95" i="4"/>
  <c r="I95" i="4"/>
  <c r="O94" i="4"/>
  <c r="M94" i="4"/>
  <c r="K94" i="4"/>
  <c r="I94" i="4"/>
  <c r="O93" i="4"/>
  <c r="M93" i="4"/>
  <c r="K93" i="4"/>
  <c r="I93" i="4"/>
  <c r="O92" i="4"/>
  <c r="M92" i="4"/>
  <c r="K92" i="4"/>
  <c r="I92" i="4"/>
  <c r="O91" i="4"/>
  <c r="M91" i="4"/>
  <c r="K91" i="4"/>
  <c r="I91" i="4"/>
  <c r="O90" i="4"/>
  <c r="M90" i="4"/>
  <c r="K90" i="4"/>
  <c r="I90" i="4"/>
  <c r="O89" i="4"/>
  <c r="M89" i="4"/>
  <c r="K89" i="4"/>
  <c r="I89" i="4"/>
  <c r="O88" i="4"/>
  <c r="M88" i="4"/>
  <c r="K88" i="4"/>
  <c r="I88" i="4"/>
  <c r="O87" i="4"/>
  <c r="M87" i="4"/>
  <c r="K87" i="4"/>
  <c r="I87" i="4"/>
  <c r="O86" i="4"/>
  <c r="M86" i="4"/>
  <c r="K86" i="4"/>
  <c r="I86" i="4"/>
  <c r="O85" i="4"/>
  <c r="M85" i="4"/>
  <c r="K85" i="4"/>
  <c r="I85" i="4"/>
  <c r="O84" i="4"/>
  <c r="M84" i="4"/>
  <c r="K84" i="4"/>
  <c r="I84" i="4"/>
  <c r="O83" i="4"/>
  <c r="M83" i="4"/>
  <c r="K83" i="4"/>
  <c r="I83" i="4"/>
  <c r="O82" i="4"/>
  <c r="M82" i="4"/>
  <c r="K82" i="4"/>
  <c r="I82" i="4"/>
  <c r="O81" i="4"/>
  <c r="M81" i="4"/>
  <c r="K81" i="4"/>
  <c r="I81" i="4"/>
  <c r="O80" i="4"/>
  <c r="M80" i="4"/>
  <c r="K80" i="4"/>
  <c r="I80" i="4"/>
  <c r="O79" i="4"/>
  <c r="M79" i="4"/>
  <c r="K79" i="4"/>
  <c r="I79" i="4"/>
  <c r="O78" i="4"/>
  <c r="M78" i="4"/>
  <c r="K78" i="4"/>
  <c r="I78" i="4"/>
  <c r="O77" i="4"/>
  <c r="M77" i="4"/>
  <c r="K77" i="4"/>
  <c r="I77" i="4"/>
  <c r="O76" i="4"/>
  <c r="M76" i="4"/>
  <c r="K76" i="4"/>
  <c r="I76" i="4"/>
  <c r="O75" i="4"/>
  <c r="M75" i="4"/>
  <c r="K75" i="4"/>
  <c r="I75" i="4"/>
  <c r="O74" i="4"/>
  <c r="M74" i="4"/>
  <c r="K74" i="4"/>
  <c r="I74" i="4"/>
  <c r="O73" i="4"/>
  <c r="M73" i="4"/>
  <c r="K73" i="4"/>
  <c r="I73" i="4"/>
  <c r="O72" i="4"/>
  <c r="M72" i="4"/>
  <c r="K72" i="4"/>
  <c r="I72" i="4"/>
  <c r="O71" i="4"/>
  <c r="M71" i="4"/>
  <c r="K71" i="4"/>
  <c r="I71" i="4"/>
  <c r="O70" i="4"/>
  <c r="M70" i="4"/>
  <c r="K70" i="4"/>
  <c r="I70" i="4"/>
  <c r="O69" i="4"/>
  <c r="M69" i="4"/>
  <c r="K69" i="4"/>
  <c r="I69" i="4"/>
  <c r="O68" i="4"/>
  <c r="M68" i="4"/>
  <c r="K68" i="4"/>
  <c r="I68" i="4"/>
  <c r="O67" i="4"/>
  <c r="M67" i="4"/>
  <c r="K67" i="4"/>
  <c r="I67" i="4"/>
  <c r="O66" i="4"/>
  <c r="M66" i="4"/>
  <c r="K66" i="4"/>
  <c r="I66" i="4"/>
  <c r="O65" i="4"/>
  <c r="M65" i="4"/>
  <c r="K65" i="4"/>
  <c r="I65" i="4"/>
  <c r="O64" i="4"/>
  <c r="M64" i="4"/>
  <c r="K64" i="4"/>
  <c r="I64" i="4"/>
  <c r="O63" i="4"/>
  <c r="M63" i="4"/>
  <c r="K63" i="4"/>
  <c r="I63" i="4"/>
  <c r="O62" i="4"/>
  <c r="M62" i="4"/>
  <c r="K62" i="4"/>
  <c r="I62" i="4"/>
  <c r="O61" i="4"/>
  <c r="M61" i="4"/>
  <c r="K61" i="4"/>
  <c r="I61" i="4"/>
  <c r="O60" i="4"/>
  <c r="M60" i="4"/>
  <c r="K60" i="4"/>
  <c r="I60" i="4"/>
  <c r="O59" i="4"/>
  <c r="M59" i="4"/>
  <c r="K59" i="4"/>
  <c r="I59" i="4"/>
  <c r="O58" i="4"/>
  <c r="M58" i="4"/>
  <c r="K58" i="4"/>
  <c r="I58" i="4"/>
  <c r="O57" i="4"/>
  <c r="M57" i="4"/>
  <c r="K57" i="4"/>
  <c r="I57" i="4"/>
  <c r="O56" i="4"/>
  <c r="M56" i="4"/>
  <c r="K56" i="4"/>
  <c r="I56" i="4"/>
  <c r="O55" i="4"/>
  <c r="M55" i="4"/>
  <c r="K55" i="4"/>
  <c r="I55" i="4"/>
  <c r="O54" i="4"/>
  <c r="M54" i="4"/>
  <c r="K54" i="4"/>
  <c r="I54" i="4"/>
  <c r="O53" i="4"/>
  <c r="M53" i="4"/>
  <c r="K53" i="4"/>
  <c r="I53" i="4"/>
  <c r="O52" i="4"/>
  <c r="M52" i="4"/>
  <c r="K52" i="4"/>
  <c r="I52" i="4"/>
  <c r="O51" i="4"/>
  <c r="M51" i="4"/>
  <c r="K51" i="4"/>
  <c r="I51" i="4"/>
  <c r="O50" i="4"/>
  <c r="M50" i="4"/>
  <c r="K50" i="4"/>
  <c r="I50" i="4"/>
  <c r="O49" i="4"/>
  <c r="M49" i="4"/>
  <c r="K49" i="4"/>
  <c r="I49" i="4"/>
  <c r="O48" i="4"/>
  <c r="M48" i="4"/>
  <c r="K48" i="4"/>
  <c r="I48" i="4"/>
  <c r="O47" i="4"/>
  <c r="M47" i="4"/>
  <c r="K47" i="4"/>
  <c r="I47" i="4"/>
  <c r="O46" i="4"/>
  <c r="M46" i="4"/>
  <c r="K46" i="4"/>
  <c r="I46" i="4"/>
  <c r="O45" i="4"/>
  <c r="M45" i="4"/>
  <c r="K45" i="4"/>
  <c r="I45" i="4"/>
  <c r="O44" i="4"/>
  <c r="M44" i="4"/>
  <c r="K44" i="4"/>
  <c r="I44" i="4"/>
  <c r="O43" i="4"/>
  <c r="M43" i="4"/>
  <c r="K43" i="4"/>
  <c r="I43" i="4"/>
  <c r="O42" i="4"/>
  <c r="M42" i="4"/>
  <c r="K42" i="4"/>
  <c r="I42" i="4"/>
  <c r="O41" i="4"/>
  <c r="M41" i="4"/>
  <c r="K41" i="4"/>
  <c r="I41" i="4"/>
  <c r="O40" i="4"/>
  <c r="M40" i="4"/>
  <c r="K40" i="4"/>
  <c r="I40" i="4"/>
  <c r="O39" i="4"/>
  <c r="M39" i="4"/>
  <c r="K39" i="4"/>
  <c r="I39" i="4"/>
  <c r="O38" i="4"/>
  <c r="M38" i="4"/>
  <c r="K38" i="4"/>
  <c r="I38" i="4"/>
  <c r="O37" i="4"/>
  <c r="M37" i="4"/>
  <c r="K37" i="4"/>
  <c r="I37" i="4"/>
  <c r="O36" i="4"/>
  <c r="M36" i="4"/>
  <c r="K36" i="4"/>
  <c r="I36" i="4"/>
  <c r="O35" i="4"/>
  <c r="M35" i="4"/>
  <c r="K35" i="4"/>
  <c r="I35" i="4"/>
  <c r="O34" i="4"/>
  <c r="M34" i="4"/>
  <c r="K34" i="4"/>
  <c r="I34" i="4"/>
  <c r="O33" i="4"/>
  <c r="M33" i="4"/>
  <c r="K33" i="4"/>
  <c r="I33" i="4"/>
  <c r="O32" i="4"/>
  <c r="M32" i="4"/>
  <c r="K32" i="4"/>
  <c r="I32" i="4"/>
  <c r="O31" i="4"/>
  <c r="M31" i="4"/>
  <c r="K31" i="4"/>
  <c r="I31" i="4"/>
  <c r="O30" i="4"/>
  <c r="M30" i="4"/>
  <c r="K30" i="4"/>
  <c r="I30" i="4"/>
  <c r="O29" i="4"/>
  <c r="M29" i="4"/>
  <c r="K29" i="4"/>
  <c r="I29" i="4"/>
  <c r="O28" i="4"/>
  <c r="M28" i="4"/>
  <c r="K28" i="4"/>
  <c r="I28" i="4"/>
  <c r="O27" i="4"/>
  <c r="M27" i="4"/>
  <c r="K27" i="4"/>
  <c r="I27" i="4"/>
  <c r="O26" i="4"/>
  <c r="M26" i="4"/>
  <c r="K26" i="4"/>
  <c r="I26" i="4"/>
  <c r="O25" i="4"/>
  <c r="M25" i="4"/>
  <c r="K25" i="4"/>
  <c r="I25" i="4"/>
  <c r="O24" i="4"/>
  <c r="M24" i="4"/>
  <c r="K24" i="4"/>
  <c r="I24" i="4"/>
  <c r="O23" i="4"/>
  <c r="M23" i="4"/>
  <c r="K23" i="4"/>
  <c r="I23" i="4"/>
  <c r="O22" i="4"/>
  <c r="M22" i="4"/>
  <c r="K22" i="4"/>
  <c r="I22" i="4"/>
  <c r="O21" i="4"/>
  <c r="M21" i="4"/>
  <c r="K21" i="4"/>
  <c r="I21" i="4"/>
  <c r="O20" i="4"/>
  <c r="M20" i="4"/>
  <c r="K20" i="4"/>
  <c r="I20" i="4"/>
  <c r="O19" i="4"/>
  <c r="M19" i="4"/>
  <c r="K19" i="4"/>
  <c r="I19" i="4"/>
  <c r="O18" i="4"/>
  <c r="M18" i="4"/>
  <c r="K18" i="4"/>
  <c r="I18" i="4"/>
  <c r="O17" i="4"/>
  <c r="M17" i="4"/>
  <c r="K17" i="4"/>
  <c r="I17" i="4"/>
  <c r="O16" i="4"/>
  <c r="M16" i="4"/>
  <c r="K16" i="4"/>
  <c r="I16" i="4"/>
  <c r="O15" i="4"/>
  <c r="M15" i="4"/>
  <c r="K15" i="4"/>
  <c r="I15" i="4"/>
  <c r="O14" i="4"/>
  <c r="M14" i="4"/>
  <c r="K14" i="4"/>
  <c r="I14" i="4"/>
  <c r="O13" i="4"/>
  <c r="M13" i="4"/>
  <c r="K13" i="4"/>
  <c r="I13" i="4"/>
  <c r="BM58" i="5" l="1"/>
  <c r="BM59" i="5"/>
  <c r="BM60" i="5"/>
  <c r="BM61" i="5"/>
  <c r="BM62" i="5"/>
  <c r="BM63" i="5"/>
  <c r="BM54" i="5"/>
  <c r="BM55" i="5"/>
  <c r="BM56" i="5"/>
  <c r="BM57" i="5"/>
  <c r="BM53" i="5"/>
  <c r="BA53" i="5"/>
  <c r="BA54" i="5"/>
  <c r="BA55" i="5"/>
  <c r="BA56" i="5"/>
  <c r="BA57" i="5"/>
  <c r="BA58" i="5"/>
  <c r="BA59" i="5"/>
  <c r="BA60" i="5"/>
  <c r="BA61" i="5"/>
  <c r="BA62" i="5"/>
  <c r="BA63" i="5"/>
  <c r="AZ53" i="5"/>
  <c r="BO52" i="5"/>
  <c r="BO26" i="5"/>
  <c r="BO27" i="5"/>
  <c r="BO28" i="5"/>
  <c r="BO29" i="5"/>
  <c r="BO30" i="5"/>
  <c r="BO31" i="5"/>
  <c r="BO32" i="5"/>
  <c r="BO33" i="5"/>
  <c r="BO34" i="5"/>
  <c r="BO35" i="5"/>
  <c r="BO36" i="5"/>
  <c r="BO37" i="5"/>
  <c r="BO38" i="5"/>
  <c r="BO39" i="5"/>
  <c r="BO40" i="5"/>
  <c r="BO41" i="5"/>
  <c r="BO42" i="5"/>
  <c r="BO43" i="5"/>
  <c r="BO44" i="5"/>
  <c r="BO45" i="5"/>
  <c r="BO46" i="5"/>
  <c r="BO47" i="5"/>
  <c r="BO48" i="5"/>
  <c r="BO49" i="5"/>
  <c r="BO50" i="5"/>
  <c r="BO51" i="5"/>
  <c r="BO25" i="5"/>
  <c r="BM25" i="5"/>
  <c r="BM26" i="5"/>
  <c r="BM27" i="5"/>
  <c r="BM28" i="5"/>
  <c r="BM29" i="5"/>
  <c r="BM30" i="5"/>
  <c r="BM31" i="5"/>
  <c r="BM32" i="5"/>
  <c r="BM33" i="5"/>
  <c r="BM34" i="5"/>
  <c r="BM35" i="5"/>
  <c r="BM36" i="5"/>
  <c r="BM37" i="5"/>
  <c r="BM38" i="5"/>
  <c r="BM39" i="5"/>
  <c r="BM40" i="5"/>
  <c r="BM41" i="5"/>
  <c r="BM42" i="5"/>
  <c r="BM43" i="5"/>
  <c r="BM44" i="5"/>
  <c r="BM45" i="5"/>
  <c r="BM46" i="5"/>
  <c r="BM47" i="5"/>
  <c r="BM48" i="5"/>
  <c r="BM49" i="5"/>
  <c r="BM50" i="5"/>
  <c r="BM51" i="5"/>
  <c r="BM52" i="5"/>
  <c r="BA25" i="5"/>
  <c r="BA27" i="5"/>
  <c r="BA28" i="5"/>
  <c r="BA29" i="5"/>
  <c r="BA30" i="5"/>
  <c r="BA31" i="5"/>
  <c r="BA32" i="5"/>
  <c r="BA33" i="5"/>
  <c r="BA34" i="5"/>
  <c r="BA35" i="5"/>
  <c r="BA36" i="5"/>
  <c r="BA37" i="5"/>
  <c r="BA38" i="5"/>
  <c r="BA39" i="5"/>
  <c r="BA40" i="5"/>
  <c r="BA41" i="5"/>
  <c r="BA42" i="5"/>
  <c r="BA43" i="5"/>
  <c r="BA44" i="5"/>
  <c r="BA45" i="5"/>
  <c r="BA46" i="5"/>
  <c r="BA47" i="5"/>
  <c r="BA48" i="5"/>
  <c r="BA49" i="5"/>
  <c r="BA50" i="5"/>
  <c r="BA51" i="5"/>
  <c r="BA52" i="5"/>
  <c r="BA26" i="5"/>
  <c r="AK25" i="5" l="1"/>
  <c r="BN26" i="5"/>
  <c r="BN27" i="5"/>
  <c r="BN28" i="5"/>
  <c r="BN29" i="5"/>
  <c r="BN30" i="5"/>
  <c r="BN31" i="5"/>
  <c r="BN32" i="5"/>
  <c r="BN33" i="5"/>
  <c r="BN34" i="5"/>
  <c r="BN35" i="5"/>
  <c r="BN36" i="5"/>
  <c r="BN37" i="5"/>
  <c r="BN38" i="5"/>
  <c r="BN39" i="5"/>
  <c r="BN40" i="5"/>
  <c r="BN41" i="5"/>
  <c r="BN42" i="5"/>
  <c r="BN43" i="5"/>
  <c r="BN44" i="5"/>
  <c r="BN45" i="5"/>
  <c r="BN46" i="5"/>
  <c r="BN47" i="5"/>
  <c r="BN48" i="5"/>
  <c r="BN49" i="5"/>
  <c r="BN50" i="5"/>
  <c r="BN51" i="5"/>
  <c r="BN52" i="5"/>
  <c r="BN25" i="5"/>
  <c r="M86" i="9"/>
  <c r="L86" i="9"/>
  <c r="K86" i="9"/>
  <c r="J86" i="9"/>
  <c r="I86" i="9"/>
  <c r="H86" i="9"/>
  <c r="G86" i="9"/>
  <c r="F86" i="9"/>
  <c r="E86" i="9"/>
  <c r="D86" i="9"/>
  <c r="C86" i="9"/>
  <c r="B86" i="9"/>
  <c r="M85" i="9"/>
  <c r="L85" i="9"/>
  <c r="K85" i="9"/>
  <c r="J85" i="9"/>
  <c r="I85" i="9"/>
  <c r="H85" i="9"/>
  <c r="G85" i="9"/>
  <c r="F85" i="9"/>
  <c r="E85" i="9"/>
  <c r="D85" i="9"/>
  <c r="C85" i="9"/>
  <c r="B85" i="9"/>
  <c r="M83" i="9"/>
  <c r="L83" i="9"/>
  <c r="K83" i="9"/>
  <c r="J83" i="9"/>
  <c r="I83" i="9"/>
  <c r="H83" i="9"/>
  <c r="G83" i="9"/>
  <c r="F83" i="9"/>
  <c r="E83" i="9"/>
  <c r="D83" i="9"/>
  <c r="C83" i="9"/>
  <c r="B83" i="9"/>
  <c r="M82" i="9"/>
  <c r="L82" i="9"/>
  <c r="K82" i="9"/>
  <c r="J82" i="9"/>
  <c r="I82" i="9"/>
  <c r="H82" i="9"/>
  <c r="G82" i="9"/>
  <c r="F82" i="9"/>
  <c r="E82" i="9"/>
  <c r="D82" i="9"/>
  <c r="C82" i="9"/>
  <c r="B82" i="9"/>
  <c r="M81" i="9"/>
  <c r="L81" i="9"/>
  <c r="K81" i="9"/>
  <c r="J81" i="9"/>
  <c r="I81" i="9"/>
  <c r="H81" i="9"/>
  <c r="G81" i="9"/>
  <c r="F81" i="9"/>
  <c r="E81" i="9"/>
  <c r="D81" i="9"/>
  <c r="C81" i="9"/>
  <c r="B81" i="9"/>
  <c r="M73" i="9"/>
  <c r="L73" i="9"/>
  <c r="K73" i="9"/>
  <c r="J73" i="9"/>
  <c r="I73" i="9"/>
  <c r="H73" i="9"/>
  <c r="G73" i="9"/>
  <c r="F73" i="9"/>
  <c r="E73" i="9"/>
  <c r="D73" i="9"/>
  <c r="C73" i="9"/>
  <c r="B73" i="9"/>
  <c r="M72" i="9"/>
  <c r="L72" i="9"/>
  <c r="K72" i="9"/>
  <c r="J72" i="9"/>
  <c r="I72" i="9"/>
  <c r="H72" i="9"/>
  <c r="G72" i="9"/>
  <c r="F72" i="9"/>
  <c r="E72" i="9"/>
  <c r="D72" i="9"/>
  <c r="C72" i="9"/>
  <c r="B72" i="9"/>
  <c r="M71" i="9"/>
  <c r="L71" i="9"/>
  <c r="K71" i="9"/>
  <c r="J71" i="9"/>
  <c r="I71" i="9"/>
  <c r="H71" i="9"/>
  <c r="G71" i="9"/>
  <c r="F71" i="9"/>
  <c r="E71" i="9"/>
  <c r="D71" i="9"/>
  <c r="C71" i="9"/>
  <c r="B71" i="9"/>
  <c r="M70" i="9"/>
  <c r="L70" i="9"/>
  <c r="K70" i="9"/>
  <c r="J70" i="9"/>
  <c r="I70" i="9"/>
  <c r="H70" i="9"/>
  <c r="G70" i="9"/>
  <c r="F70" i="9"/>
  <c r="E70" i="9"/>
  <c r="D70" i="9"/>
  <c r="C70" i="9"/>
  <c r="B70" i="9"/>
  <c r="M69" i="9"/>
  <c r="L69" i="9"/>
  <c r="K69" i="9"/>
  <c r="J69" i="9"/>
  <c r="I69" i="9"/>
  <c r="H69" i="9"/>
  <c r="G69" i="9"/>
  <c r="F69" i="9"/>
  <c r="E69" i="9"/>
  <c r="D69" i="9"/>
  <c r="C69" i="9"/>
  <c r="B69" i="9"/>
  <c r="M68" i="9"/>
  <c r="L68" i="9"/>
  <c r="K68" i="9"/>
  <c r="J68" i="9"/>
  <c r="I68" i="9"/>
  <c r="H68" i="9"/>
  <c r="G68" i="9"/>
  <c r="F68" i="9"/>
  <c r="E68" i="9"/>
  <c r="D68" i="9"/>
  <c r="C68" i="9"/>
  <c r="B68" i="9"/>
  <c r="M67" i="9"/>
  <c r="L67" i="9"/>
  <c r="K67" i="9"/>
  <c r="J67" i="9"/>
  <c r="I67" i="9"/>
  <c r="H67" i="9"/>
  <c r="G67" i="9"/>
  <c r="F67" i="9"/>
  <c r="E67" i="9"/>
  <c r="D67" i="9"/>
  <c r="C67" i="9"/>
  <c r="B67" i="9"/>
  <c r="M66" i="9"/>
  <c r="L66" i="9"/>
  <c r="K66" i="9"/>
  <c r="J66" i="9"/>
  <c r="I66" i="9"/>
  <c r="H66" i="9"/>
  <c r="G66" i="9"/>
  <c r="F66" i="9"/>
  <c r="E66" i="9"/>
  <c r="D66" i="9"/>
  <c r="C66" i="9"/>
  <c r="B66" i="9"/>
  <c r="M65" i="9"/>
  <c r="L65" i="9"/>
  <c r="K65" i="9"/>
  <c r="J65" i="9"/>
  <c r="I65" i="9"/>
  <c r="H65" i="9"/>
  <c r="G65" i="9"/>
  <c r="F65" i="9"/>
  <c r="E65" i="9"/>
  <c r="D65" i="9"/>
  <c r="C65" i="9"/>
  <c r="B65" i="9"/>
  <c r="M64" i="9"/>
  <c r="L64" i="9"/>
  <c r="K64" i="9"/>
  <c r="J64" i="9"/>
  <c r="I64" i="9"/>
  <c r="H64" i="9"/>
  <c r="G64" i="9"/>
  <c r="F64" i="9"/>
  <c r="E64" i="9"/>
  <c r="D64" i="9"/>
  <c r="C64" i="9"/>
  <c r="B64" i="9"/>
  <c r="M63" i="9"/>
  <c r="L63" i="9"/>
  <c r="K63" i="9"/>
  <c r="J63" i="9"/>
  <c r="I63" i="9"/>
  <c r="H63" i="9"/>
  <c r="G63" i="9"/>
  <c r="F63" i="9"/>
  <c r="E63" i="9"/>
  <c r="D63" i="9"/>
  <c r="C63" i="9"/>
  <c r="B63" i="9"/>
  <c r="M62" i="9"/>
  <c r="L62" i="9"/>
  <c r="K62" i="9"/>
  <c r="J62" i="9"/>
  <c r="I62" i="9"/>
  <c r="H62" i="9"/>
  <c r="G62" i="9"/>
  <c r="F62" i="9"/>
  <c r="E62" i="9"/>
  <c r="D62" i="9"/>
  <c r="C62" i="9"/>
  <c r="B62" i="9"/>
  <c r="M61" i="9"/>
  <c r="L61" i="9"/>
  <c r="K61" i="9"/>
  <c r="J61" i="9"/>
  <c r="I61" i="9"/>
  <c r="H61" i="9"/>
  <c r="G61" i="9"/>
  <c r="F61" i="9"/>
  <c r="E61" i="9"/>
  <c r="D61" i="9"/>
  <c r="C61" i="9"/>
  <c r="B61" i="9"/>
  <c r="M60" i="9"/>
  <c r="L60" i="9"/>
  <c r="K60" i="9"/>
  <c r="J60" i="9"/>
  <c r="I60" i="9"/>
  <c r="H60" i="9"/>
  <c r="G60" i="9"/>
  <c r="F60" i="9"/>
  <c r="E60" i="9"/>
  <c r="D60" i="9"/>
  <c r="C60" i="9"/>
  <c r="B60" i="9"/>
  <c r="M59" i="9"/>
  <c r="L59" i="9"/>
  <c r="K59" i="9"/>
  <c r="J59" i="9"/>
  <c r="I59" i="9"/>
  <c r="H59" i="9"/>
  <c r="G59" i="9"/>
  <c r="F59" i="9"/>
  <c r="E59" i="9"/>
  <c r="D59" i="9"/>
  <c r="C59" i="9"/>
  <c r="B59" i="9"/>
  <c r="M58" i="9"/>
  <c r="L58" i="9"/>
  <c r="K58" i="9"/>
  <c r="J58" i="9"/>
  <c r="I58" i="9"/>
  <c r="H58" i="9"/>
  <c r="G58" i="9"/>
  <c r="F58" i="9"/>
  <c r="E58" i="9"/>
  <c r="D58" i="9"/>
  <c r="C58" i="9"/>
  <c r="B58" i="9"/>
  <c r="M57" i="9"/>
  <c r="L57" i="9"/>
  <c r="K57" i="9"/>
  <c r="J57" i="9"/>
  <c r="I57" i="9"/>
  <c r="H57" i="9"/>
  <c r="G57" i="9"/>
  <c r="F57" i="9"/>
  <c r="E57" i="9"/>
  <c r="D57" i="9"/>
  <c r="C57" i="9"/>
  <c r="B57" i="9"/>
  <c r="M56" i="9"/>
  <c r="L56" i="9"/>
  <c r="K56" i="9"/>
  <c r="J56" i="9"/>
  <c r="I56" i="9"/>
  <c r="H56" i="9"/>
  <c r="G56" i="9"/>
  <c r="F56" i="9"/>
  <c r="E56" i="9"/>
  <c r="D56" i="9"/>
  <c r="C56" i="9"/>
  <c r="B56" i="9"/>
  <c r="M55" i="9"/>
  <c r="L55" i="9"/>
  <c r="K55" i="9"/>
  <c r="J55" i="9"/>
  <c r="I55" i="9"/>
  <c r="H55" i="9"/>
  <c r="G55" i="9"/>
  <c r="F55" i="9"/>
  <c r="E55" i="9"/>
  <c r="D55" i="9"/>
  <c r="C55" i="9"/>
  <c r="B55" i="9"/>
  <c r="M54" i="9"/>
  <c r="L54" i="9"/>
  <c r="K54" i="9"/>
  <c r="J54" i="9"/>
  <c r="I54" i="9"/>
  <c r="H54" i="9"/>
  <c r="G54" i="9"/>
  <c r="F54" i="9"/>
  <c r="E54" i="9"/>
  <c r="D54" i="9"/>
  <c r="C54" i="9"/>
  <c r="B54" i="9"/>
  <c r="M53" i="9"/>
  <c r="L53" i="9"/>
  <c r="K53" i="9"/>
  <c r="J53" i="9"/>
  <c r="I53" i="9"/>
  <c r="H53" i="9"/>
  <c r="G53" i="9"/>
  <c r="F53" i="9"/>
  <c r="E53" i="9"/>
  <c r="D53" i="9"/>
  <c r="C53" i="9"/>
  <c r="B53" i="9"/>
  <c r="M52" i="9"/>
  <c r="L52" i="9"/>
  <c r="K52" i="9"/>
  <c r="J52" i="9"/>
  <c r="I52" i="9"/>
  <c r="H52" i="9"/>
  <c r="G52" i="9"/>
  <c r="F52" i="9"/>
  <c r="E52" i="9"/>
  <c r="D52" i="9"/>
  <c r="C52" i="9"/>
  <c r="B52" i="9"/>
  <c r="M51" i="9"/>
  <c r="L51" i="9"/>
  <c r="K51" i="9"/>
  <c r="J51" i="9"/>
  <c r="I51" i="9"/>
  <c r="H51" i="9"/>
  <c r="G51" i="9"/>
  <c r="F51" i="9"/>
  <c r="E51" i="9"/>
  <c r="D51" i="9"/>
  <c r="C51" i="9"/>
  <c r="B51" i="9"/>
  <c r="M50" i="9"/>
  <c r="L50" i="9"/>
  <c r="K50" i="9"/>
  <c r="J50" i="9"/>
  <c r="I50" i="9"/>
  <c r="H50" i="9"/>
  <c r="G50" i="9"/>
  <c r="F50" i="9"/>
  <c r="E50" i="9"/>
  <c r="D50" i="9"/>
  <c r="C50" i="9"/>
  <c r="B50" i="9"/>
  <c r="M49" i="9"/>
  <c r="L49" i="9"/>
  <c r="K49" i="9"/>
  <c r="J49" i="9"/>
  <c r="I49" i="9"/>
  <c r="H49" i="9"/>
  <c r="G49" i="9"/>
  <c r="F49" i="9"/>
  <c r="E49" i="9"/>
  <c r="D49" i="9"/>
  <c r="C49" i="9"/>
  <c r="B49" i="9"/>
  <c r="M48" i="9"/>
  <c r="L48" i="9"/>
  <c r="K48" i="9"/>
  <c r="J48" i="9"/>
  <c r="I48" i="9"/>
  <c r="H48" i="9"/>
  <c r="G48" i="9"/>
  <c r="F48" i="9"/>
  <c r="E48" i="9"/>
  <c r="D48" i="9"/>
  <c r="C48" i="9"/>
  <c r="B48" i="9"/>
  <c r="M47" i="9"/>
  <c r="L47" i="9"/>
  <c r="K47" i="9"/>
  <c r="J47" i="9"/>
  <c r="I47" i="9"/>
  <c r="H47" i="9"/>
  <c r="G47" i="9"/>
  <c r="F47" i="9"/>
  <c r="E47" i="9"/>
  <c r="D47" i="9"/>
  <c r="C47" i="9"/>
  <c r="B47" i="9"/>
  <c r="M46" i="9"/>
  <c r="L46" i="9"/>
  <c r="K46" i="9"/>
  <c r="J46" i="9"/>
  <c r="I46" i="9"/>
  <c r="H46" i="9"/>
  <c r="G46" i="9"/>
  <c r="F46" i="9"/>
  <c r="E46" i="9"/>
  <c r="D46" i="9"/>
  <c r="C46" i="9"/>
  <c r="B46" i="9"/>
  <c r="M45" i="9"/>
  <c r="L45" i="9"/>
  <c r="K45" i="9"/>
  <c r="J45" i="9"/>
  <c r="I45" i="9"/>
  <c r="H45" i="9"/>
  <c r="G45" i="9"/>
  <c r="F45" i="9"/>
  <c r="E45" i="9"/>
  <c r="D45" i="9"/>
  <c r="C45" i="9"/>
  <c r="B45" i="9"/>
  <c r="M44" i="9"/>
  <c r="L44" i="9"/>
  <c r="K44" i="9"/>
  <c r="J44" i="9"/>
  <c r="I44" i="9"/>
  <c r="H44" i="9"/>
  <c r="G44" i="9"/>
  <c r="F44" i="9"/>
  <c r="E44" i="9"/>
  <c r="D44" i="9"/>
  <c r="C44" i="9"/>
  <c r="B44" i="9"/>
  <c r="M43" i="9"/>
  <c r="L43" i="9"/>
  <c r="K43" i="9"/>
  <c r="J43" i="9"/>
  <c r="I43" i="9"/>
  <c r="H43" i="9"/>
  <c r="G43" i="9"/>
  <c r="F43" i="9"/>
  <c r="E43" i="9"/>
  <c r="D43" i="9"/>
  <c r="C43" i="9"/>
  <c r="B43" i="9"/>
  <c r="M42" i="9"/>
  <c r="L42" i="9"/>
  <c r="K42" i="9"/>
  <c r="J42" i="9"/>
  <c r="I42" i="9"/>
  <c r="H42" i="9"/>
  <c r="G42" i="9"/>
  <c r="F42" i="9"/>
  <c r="E42" i="9"/>
  <c r="D42" i="9"/>
  <c r="C42" i="9"/>
  <c r="B42" i="9"/>
  <c r="M41" i="9"/>
  <c r="L41" i="9"/>
  <c r="K41" i="9"/>
  <c r="J41" i="9"/>
  <c r="I41" i="9"/>
  <c r="H41" i="9"/>
  <c r="G41" i="9"/>
  <c r="F41" i="9"/>
  <c r="E41" i="9"/>
  <c r="D41" i="9"/>
  <c r="C41" i="9"/>
  <c r="B41" i="9"/>
  <c r="M40" i="9"/>
  <c r="L40" i="9"/>
  <c r="K40" i="9"/>
  <c r="J40" i="9"/>
  <c r="I40" i="9"/>
  <c r="H40" i="9"/>
  <c r="G40" i="9"/>
  <c r="F40" i="9"/>
  <c r="E40" i="9"/>
  <c r="D40" i="9"/>
  <c r="C40" i="9"/>
  <c r="B40" i="9"/>
  <c r="M39" i="9"/>
  <c r="L39" i="9"/>
  <c r="K39" i="9"/>
  <c r="J39" i="9"/>
  <c r="I39" i="9"/>
  <c r="H39" i="9"/>
  <c r="G39" i="9"/>
  <c r="F39" i="9"/>
  <c r="E39" i="9"/>
  <c r="D39" i="9"/>
  <c r="C39" i="9"/>
  <c r="B39" i="9"/>
  <c r="M38" i="9"/>
  <c r="L38" i="9"/>
  <c r="K38" i="9"/>
  <c r="J38" i="9"/>
  <c r="I38" i="9"/>
  <c r="H38" i="9"/>
  <c r="G38" i="9"/>
  <c r="F38" i="9"/>
  <c r="E38" i="9"/>
  <c r="D38" i="9"/>
  <c r="C38" i="9"/>
  <c r="B38" i="9"/>
  <c r="M37" i="9"/>
  <c r="L37" i="9"/>
  <c r="K37" i="9"/>
  <c r="J37" i="9"/>
  <c r="I37" i="9"/>
  <c r="H37" i="9"/>
  <c r="G37" i="9"/>
  <c r="F37" i="9"/>
  <c r="E37" i="9"/>
  <c r="D37" i="9"/>
  <c r="C37" i="9"/>
  <c r="B37" i="9"/>
  <c r="M36" i="9"/>
  <c r="L36" i="9"/>
  <c r="K36" i="9"/>
  <c r="J36" i="9"/>
  <c r="I36" i="9"/>
  <c r="H36" i="9"/>
  <c r="G36" i="9"/>
  <c r="F36" i="9"/>
  <c r="E36" i="9"/>
  <c r="D36" i="9"/>
  <c r="C36" i="9"/>
  <c r="B36" i="9"/>
  <c r="M35" i="9"/>
  <c r="L35" i="9"/>
  <c r="K35" i="9"/>
  <c r="J35" i="9"/>
  <c r="I35" i="9"/>
  <c r="H35" i="9"/>
  <c r="G35" i="9"/>
  <c r="F35" i="9"/>
  <c r="E35" i="9"/>
  <c r="D35" i="9"/>
  <c r="C35" i="9"/>
  <c r="B35" i="9"/>
  <c r="M34" i="9"/>
  <c r="L34" i="9"/>
  <c r="K34" i="9"/>
  <c r="J34" i="9"/>
  <c r="I34" i="9"/>
  <c r="H34" i="9"/>
  <c r="G34" i="9"/>
  <c r="F34" i="9"/>
  <c r="E34" i="9"/>
  <c r="D34" i="9"/>
  <c r="C34" i="9"/>
  <c r="B34" i="9"/>
  <c r="M33" i="9"/>
  <c r="L33" i="9"/>
  <c r="K33" i="9"/>
  <c r="J33" i="9"/>
  <c r="I33" i="9"/>
  <c r="H33" i="9"/>
  <c r="G33" i="9"/>
  <c r="F33" i="9"/>
  <c r="E33" i="9"/>
  <c r="D33" i="9"/>
  <c r="C33" i="9"/>
  <c r="B33" i="9"/>
  <c r="M32" i="9"/>
  <c r="L32" i="9"/>
  <c r="K32" i="9"/>
  <c r="J32" i="9"/>
  <c r="I32" i="9"/>
  <c r="H32" i="9"/>
  <c r="G32" i="9"/>
  <c r="F32" i="9"/>
  <c r="E32" i="9"/>
  <c r="D32" i="9"/>
  <c r="C32" i="9"/>
  <c r="B32" i="9"/>
  <c r="M31" i="9"/>
  <c r="L31" i="9"/>
  <c r="K31" i="9"/>
  <c r="J31" i="9"/>
  <c r="I31" i="9"/>
  <c r="H31" i="9"/>
  <c r="G31" i="9"/>
  <c r="F31" i="9"/>
  <c r="E31" i="9"/>
  <c r="D31" i="9"/>
  <c r="C31" i="9"/>
  <c r="B31" i="9"/>
  <c r="M30" i="9"/>
  <c r="L30" i="9"/>
  <c r="K30" i="9"/>
  <c r="J30" i="9"/>
  <c r="I30" i="9"/>
  <c r="H30" i="9"/>
  <c r="G30" i="9"/>
  <c r="F30" i="9"/>
  <c r="E30" i="9"/>
  <c r="D30" i="9"/>
  <c r="C30" i="9"/>
  <c r="B30" i="9"/>
  <c r="M29" i="9"/>
  <c r="L29" i="9"/>
  <c r="K29" i="9"/>
  <c r="J29" i="9"/>
  <c r="I29" i="9"/>
  <c r="H29" i="9"/>
  <c r="G29" i="9"/>
  <c r="F29" i="9"/>
  <c r="E29" i="9"/>
  <c r="D29" i="9"/>
  <c r="C29" i="9"/>
  <c r="B29" i="9"/>
  <c r="M28" i="9"/>
  <c r="L28" i="9"/>
  <c r="K28" i="9"/>
  <c r="J28" i="9"/>
  <c r="I28" i="9"/>
  <c r="H28" i="9"/>
  <c r="G28" i="9"/>
  <c r="F28" i="9"/>
  <c r="E28" i="9"/>
  <c r="D28" i="9"/>
  <c r="C28" i="9"/>
  <c r="B28" i="9"/>
  <c r="M27" i="9"/>
  <c r="L27" i="9"/>
  <c r="K27" i="9"/>
  <c r="J27" i="9"/>
  <c r="I27" i="9"/>
  <c r="H27" i="9"/>
  <c r="G27" i="9"/>
  <c r="F27" i="9"/>
  <c r="E27" i="9"/>
  <c r="D27" i="9"/>
  <c r="C27" i="9"/>
  <c r="B27" i="9"/>
  <c r="M26" i="9"/>
  <c r="L26" i="9"/>
  <c r="K26" i="9"/>
  <c r="J26" i="9"/>
  <c r="I26" i="9"/>
  <c r="H26" i="9"/>
  <c r="G26" i="9"/>
  <c r="F26" i="9"/>
  <c r="E26" i="9"/>
  <c r="D26" i="9"/>
  <c r="C26" i="9"/>
  <c r="B26" i="9"/>
  <c r="M25" i="9"/>
  <c r="L25" i="9"/>
  <c r="K25" i="9"/>
  <c r="J25" i="9"/>
  <c r="I25" i="9"/>
  <c r="H25" i="9"/>
  <c r="G25" i="9"/>
  <c r="F25" i="9"/>
  <c r="E25" i="9"/>
  <c r="D25" i="9"/>
  <c r="C25" i="9"/>
  <c r="B25" i="9"/>
  <c r="M24" i="9"/>
  <c r="L24" i="9"/>
  <c r="K24" i="9"/>
  <c r="J24" i="9"/>
  <c r="I24" i="9"/>
  <c r="H24" i="9"/>
  <c r="G24" i="9"/>
  <c r="F24" i="9"/>
  <c r="E24" i="9"/>
  <c r="D24" i="9"/>
  <c r="C24" i="9"/>
  <c r="B24" i="9"/>
  <c r="M23" i="9"/>
  <c r="L23" i="9"/>
  <c r="K23" i="9"/>
  <c r="J23" i="9"/>
  <c r="I23" i="9"/>
  <c r="H23" i="9"/>
  <c r="G23" i="9"/>
  <c r="F23" i="9"/>
  <c r="E23" i="9"/>
  <c r="D23" i="9"/>
  <c r="C23" i="9"/>
  <c r="B23" i="9"/>
  <c r="M22" i="9"/>
  <c r="L22" i="9"/>
  <c r="K22" i="9"/>
  <c r="J22" i="9"/>
  <c r="I22" i="9"/>
  <c r="H22" i="9"/>
  <c r="G22" i="9"/>
  <c r="F22" i="9"/>
  <c r="E22" i="9"/>
  <c r="D22" i="9"/>
  <c r="C22" i="9"/>
  <c r="B22" i="9"/>
  <c r="M21" i="9"/>
  <c r="L21" i="9"/>
  <c r="K21" i="9"/>
  <c r="J21" i="9"/>
  <c r="I21" i="9"/>
  <c r="H21" i="9"/>
  <c r="G21" i="9"/>
  <c r="F21" i="9"/>
  <c r="E21" i="9"/>
  <c r="D21" i="9"/>
  <c r="C21" i="9"/>
  <c r="B21" i="9"/>
  <c r="M20" i="9"/>
  <c r="L20" i="9"/>
  <c r="K20" i="9"/>
  <c r="J20" i="9"/>
  <c r="I20" i="9"/>
  <c r="H20" i="9"/>
  <c r="G20" i="9"/>
  <c r="F20" i="9"/>
  <c r="E20" i="9"/>
  <c r="D20" i="9"/>
  <c r="C20" i="9"/>
  <c r="B20" i="9"/>
  <c r="M19" i="9"/>
  <c r="L19" i="9"/>
  <c r="K19" i="9"/>
  <c r="J19" i="9"/>
  <c r="I19" i="9"/>
  <c r="H19" i="9"/>
  <c r="G19" i="9"/>
  <c r="F19" i="9"/>
  <c r="E19" i="9"/>
  <c r="D19" i="9"/>
  <c r="C19" i="9"/>
  <c r="B19" i="9"/>
  <c r="M18" i="9"/>
  <c r="L18" i="9"/>
  <c r="K18" i="9"/>
  <c r="J18" i="9"/>
  <c r="I18" i="9"/>
  <c r="H18" i="9"/>
  <c r="G18" i="9"/>
  <c r="F18" i="9"/>
  <c r="E18" i="9"/>
  <c r="D18" i="9"/>
  <c r="C18" i="9"/>
  <c r="B18" i="9"/>
  <c r="M17" i="9"/>
  <c r="L17" i="9"/>
  <c r="K17" i="9"/>
  <c r="J17" i="9"/>
  <c r="I17" i="9"/>
  <c r="H17" i="9"/>
  <c r="G17" i="9"/>
  <c r="F17" i="9"/>
  <c r="E17" i="9"/>
  <c r="D17" i="9"/>
  <c r="C17" i="9"/>
  <c r="B17" i="9"/>
  <c r="M16" i="9"/>
  <c r="L16" i="9"/>
  <c r="K16" i="9"/>
  <c r="J16" i="9"/>
  <c r="I16" i="9"/>
  <c r="H16" i="9"/>
  <c r="G16" i="9"/>
  <c r="F16" i="9"/>
  <c r="E16" i="9"/>
  <c r="D16" i="9"/>
  <c r="C16" i="9"/>
  <c r="B16" i="9"/>
  <c r="M15" i="9"/>
  <c r="L15" i="9"/>
  <c r="K15" i="9"/>
  <c r="J15" i="9"/>
  <c r="I15" i="9"/>
  <c r="H15" i="9"/>
  <c r="G15" i="9"/>
  <c r="F15" i="9"/>
  <c r="E15" i="9"/>
  <c r="D15" i="9"/>
  <c r="C15" i="9"/>
  <c r="B15" i="9"/>
  <c r="M14" i="9"/>
  <c r="L14" i="9"/>
  <c r="K14" i="9"/>
  <c r="J14" i="9"/>
  <c r="I14" i="9"/>
  <c r="H14" i="9"/>
  <c r="G14" i="9"/>
  <c r="F14" i="9"/>
  <c r="E14" i="9"/>
  <c r="D14" i="9"/>
  <c r="C14" i="9"/>
  <c r="B14" i="9"/>
  <c r="M13" i="9"/>
  <c r="L13" i="9"/>
  <c r="K13" i="9"/>
  <c r="J13" i="9"/>
  <c r="I13" i="9"/>
  <c r="H13" i="9"/>
  <c r="G13" i="9"/>
  <c r="F13" i="9"/>
  <c r="E13" i="9"/>
  <c r="D13" i="9"/>
  <c r="C13" i="9"/>
  <c r="B13" i="9"/>
  <c r="M12" i="9"/>
  <c r="L12" i="9"/>
  <c r="K12" i="9"/>
  <c r="J12" i="9"/>
  <c r="I12" i="9"/>
  <c r="H12" i="9"/>
  <c r="G12" i="9"/>
  <c r="F12" i="9"/>
  <c r="E12" i="9"/>
  <c r="D12" i="9"/>
  <c r="C12" i="9"/>
  <c r="B12" i="9"/>
  <c r="M11" i="9"/>
  <c r="L11" i="9"/>
  <c r="K11" i="9"/>
  <c r="J11" i="9"/>
  <c r="I11" i="9"/>
  <c r="H11" i="9"/>
  <c r="G11" i="9"/>
  <c r="F11" i="9"/>
  <c r="E11" i="9"/>
  <c r="D11" i="9"/>
  <c r="C11" i="9"/>
  <c r="B11" i="9"/>
  <c r="M10" i="9"/>
  <c r="L10" i="9"/>
  <c r="K10" i="9"/>
  <c r="J10" i="9"/>
  <c r="I10" i="9"/>
  <c r="H10" i="9"/>
  <c r="G10" i="9"/>
  <c r="F10" i="9"/>
  <c r="E10" i="9"/>
  <c r="D10" i="9"/>
  <c r="C10" i="9"/>
  <c r="B10" i="9"/>
  <c r="M9" i="9"/>
  <c r="L9" i="9"/>
  <c r="K9" i="9"/>
  <c r="J9" i="9"/>
  <c r="I9" i="9"/>
  <c r="H9" i="9"/>
  <c r="G9" i="9"/>
  <c r="F9" i="9"/>
  <c r="E9" i="9"/>
  <c r="D9" i="9"/>
  <c r="C9" i="9"/>
  <c r="B9" i="9"/>
  <c r="M8" i="9"/>
  <c r="L8" i="9"/>
  <c r="K8" i="9"/>
  <c r="J8" i="9"/>
  <c r="I8" i="9"/>
  <c r="H8" i="9"/>
  <c r="G8" i="9"/>
  <c r="F8" i="9"/>
  <c r="E8" i="9"/>
  <c r="D8" i="9"/>
  <c r="C8" i="9"/>
  <c r="B8" i="9"/>
  <c r="M7" i="9"/>
  <c r="L7" i="9"/>
  <c r="K7" i="9"/>
  <c r="J7" i="9"/>
  <c r="I7" i="9"/>
  <c r="H7" i="9"/>
  <c r="G7" i="9"/>
  <c r="F7" i="9"/>
  <c r="E7" i="9"/>
  <c r="D7" i="9"/>
  <c r="C7" i="9"/>
  <c r="B7" i="9"/>
  <c r="M6" i="9"/>
  <c r="L6" i="9"/>
  <c r="K6" i="9"/>
  <c r="J6" i="9"/>
  <c r="I6" i="9"/>
  <c r="H6" i="9"/>
  <c r="G6" i="9"/>
  <c r="F6" i="9"/>
  <c r="E6" i="9"/>
  <c r="D6" i="9"/>
  <c r="C6" i="9"/>
  <c r="B6" i="9"/>
  <c r="M5" i="9"/>
  <c r="L5" i="9"/>
  <c r="K5" i="9"/>
  <c r="J5" i="9"/>
  <c r="I5" i="9"/>
  <c r="H5" i="9"/>
  <c r="G5" i="9"/>
  <c r="F5" i="9"/>
  <c r="E5" i="9"/>
  <c r="D5" i="9"/>
  <c r="C5" i="9"/>
  <c r="B5" i="9"/>
  <c r="BS63" i="5"/>
  <c r="BR63" i="5"/>
  <c r="BQ63" i="5"/>
  <c r="BP63" i="5"/>
  <c r="BO63" i="5"/>
  <c r="BN63" i="5"/>
  <c r="BL63" i="5"/>
  <c r="AZ63" i="5"/>
  <c r="AW63" i="5"/>
  <c r="AV63" i="5"/>
  <c r="AU63" i="5"/>
  <c r="AT63" i="5"/>
  <c r="AS63" i="5"/>
  <c r="AR63" i="5"/>
  <c r="AO63" i="5"/>
  <c r="AN63" i="5"/>
  <c r="AK63" i="5"/>
  <c r="AJ63" i="5"/>
  <c r="BS62" i="5"/>
  <c r="BR62" i="5"/>
  <c r="BQ62" i="5"/>
  <c r="BP62" i="5"/>
  <c r="BO62" i="5"/>
  <c r="BN62" i="5"/>
  <c r="BL62" i="5"/>
  <c r="AZ62" i="5"/>
  <c r="AW62" i="5"/>
  <c r="AV62" i="5"/>
  <c r="AU62" i="5"/>
  <c r="AT62" i="5"/>
  <c r="AS62" i="5"/>
  <c r="AR62" i="5"/>
  <c r="AO62" i="5"/>
  <c r="AN62" i="5"/>
  <c r="AK62" i="5"/>
  <c r="AJ62" i="5"/>
  <c r="BS61" i="5"/>
  <c r="BR61" i="5"/>
  <c r="BQ61" i="5"/>
  <c r="BP61" i="5"/>
  <c r="BO61" i="5"/>
  <c r="BN61" i="5"/>
  <c r="BL61" i="5"/>
  <c r="AZ61" i="5"/>
  <c r="AW61" i="5"/>
  <c r="AV61" i="5"/>
  <c r="AU61" i="5"/>
  <c r="AT61" i="5"/>
  <c r="AS61" i="5"/>
  <c r="AR61" i="5"/>
  <c r="AO61" i="5"/>
  <c r="AN61" i="5"/>
  <c r="AK61" i="5"/>
  <c r="AJ61" i="5"/>
  <c r="BS60" i="5"/>
  <c r="BR60" i="5"/>
  <c r="BQ60" i="5"/>
  <c r="BP60" i="5"/>
  <c r="BO60" i="5"/>
  <c r="BN60" i="5"/>
  <c r="BL60" i="5"/>
  <c r="AZ60" i="5"/>
  <c r="AW60" i="5"/>
  <c r="AV60" i="5"/>
  <c r="AU60" i="5"/>
  <c r="AT60" i="5"/>
  <c r="AS60" i="5"/>
  <c r="AR60" i="5"/>
  <c r="AO60" i="5"/>
  <c r="AN60" i="5"/>
  <c r="AK60" i="5"/>
  <c r="AJ60" i="5"/>
  <c r="BS59" i="5"/>
  <c r="BR59" i="5"/>
  <c r="BQ59" i="5"/>
  <c r="BP59" i="5"/>
  <c r="BO59" i="5"/>
  <c r="BN59" i="5"/>
  <c r="BL59" i="5"/>
  <c r="AZ59" i="5"/>
  <c r="AW59" i="5"/>
  <c r="AV59" i="5"/>
  <c r="AU59" i="5"/>
  <c r="AT59" i="5"/>
  <c r="AS59" i="5"/>
  <c r="AR59" i="5"/>
  <c r="AO59" i="5"/>
  <c r="AN59" i="5"/>
  <c r="AK59" i="5"/>
  <c r="AJ59" i="5"/>
  <c r="BS58" i="5"/>
  <c r="BR58" i="5"/>
  <c r="BQ58" i="5"/>
  <c r="BP58" i="5"/>
  <c r="BO58" i="5"/>
  <c r="BN58" i="5"/>
  <c r="BL58" i="5"/>
  <c r="AZ58" i="5"/>
  <c r="AW58" i="5"/>
  <c r="AV58" i="5"/>
  <c r="AU58" i="5"/>
  <c r="AT58" i="5"/>
  <c r="AS58" i="5"/>
  <c r="AR58" i="5"/>
  <c r="AO58" i="5"/>
  <c r="AN58" i="5"/>
  <c r="AK58" i="5"/>
  <c r="AJ58" i="5"/>
  <c r="BS57" i="5"/>
  <c r="BR57" i="5"/>
  <c r="BQ57" i="5"/>
  <c r="BP57" i="5"/>
  <c r="BO57" i="5"/>
  <c r="BN57" i="5"/>
  <c r="BL57" i="5"/>
  <c r="AZ57" i="5"/>
  <c r="AW57" i="5"/>
  <c r="AV57" i="5"/>
  <c r="AU57" i="5"/>
  <c r="AT57" i="5"/>
  <c r="AS57" i="5"/>
  <c r="AR57" i="5"/>
  <c r="AO57" i="5"/>
  <c r="AN57" i="5"/>
  <c r="AK57" i="5"/>
  <c r="AJ57" i="5"/>
  <c r="BS56" i="5"/>
  <c r="BR56" i="5"/>
  <c r="BQ56" i="5"/>
  <c r="BP56" i="5"/>
  <c r="BO56" i="5"/>
  <c r="BN56" i="5"/>
  <c r="BL56" i="5"/>
  <c r="AZ56" i="5"/>
  <c r="AW56" i="5"/>
  <c r="AV56" i="5"/>
  <c r="AU56" i="5"/>
  <c r="AT56" i="5"/>
  <c r="AS56" i="5"/>
  <c r="AR56" i="5"/>
  <c r="AO56" i="5"/>
  <c r="AN56" i="5"/>
  <c r="AK56" i="5"/>
  <c r="AJ56" i="5"/>
  <c r="BS55" i="5"/>
  <c r="BR55" i="5"/>
  <c r="BQ55" i="5"/>
  <c r="BP55" i="5"/>
  <c r="BO55" i="5"/>
  <c r="BN55" i="5"/>
  <c r="BL55" i="5"/>
  <c r="AZ55" i="5"/>
  <c r="AW55" i="5"/>
  <c r="AV55" i="5"/>
  <c r="AU55" i="5"/>
  <c r="AT55" i="5"/>
  <c r="AS55" i="5"/>
  <c r="AR55" i="5"/>
  <c r="AO55" i="5"/>
  <c r="AN55" i="5"/>
  <c r="AK55" i="5"/>
  <c r="AJ55" i="5"/>
  <c r="BS54" i="5"/>
  <c r="BR54" i="5"/>
  <c r="BQ54" i="5"/>
  <c r="BP54" i="5"/>
  <c r="BO54" i="5"/>
  <c r="BN54" i="5"/>
  <c r="BL54" i="5"/>
  <c r="AZ54" i="5"/>
  <c r="AW54" i="5"/>
  <c r="AV54" i="5"/>
  <c r="AU54" i="5"/>
  <c r="AT54" i="5"/>
  <c r="AS54" i="5"/>
  <c r="AR54" i="5"/>
  <c r="AO54" i="5"/>
  <c r="AN54" i="5"/>
  <c r="AK54" i="5"/>
  <c r="AJ54" i="5"/>
  <c r="BS53" i="5"/>
  <c r="BR53" i="5"/>
  <c r="BQ53" i="5"/>
  <c r="BP53" i="5"/>
  <c r="BO53" i="5"/>
  <c r="BN53" i="5"/>
  <c r="BL53" i="5"/>
  <c r="AW53" i="5"/>
  <c r="AV53" i="5"/>
  <c r="AU53" i="5"/>
  <c r="AT53" i="5"/>
  <c r="AS53" i="5"/>
  <c r="AR53" i="5"/>
  <c r="AO53" i="5"/>
  <c r="AN53" i="5"/>
  <c r="AK53" i="5"/>
  <c r="AJ53" i="5"/>
  <c r="BS52" i="5"/>
  <c r="BR52" i="5"/>
  <c r="BQ52" i="5"/>
  <c r="BP52" i="5"/>
  <c r="BL52" i="5"/>
  <c r="AZ52" i="5"/>
  <c r="AW52" i="5"/>
  <c r="AV52" i="5"/>
  <c r="AU52" i="5"/>
  <c r="AT52" i="5"/>
  <c r="AS52" i="5"/>
  <c r="AR52" i="5"/>
  <c r="AO52" i="5"/>
  <c r="AN52" i="5"/>
  <c r="AK52" i="5"/>
  <c r="AJ52" i="5"/>
  <c r="BS51" i="5"/>
  <c r="BR51" i="5"/>
  <c r="BL51" i="5"/>
  <c r="AZ51" i="5"/>
  <c r="AW51" i="5"/>
  <c r="AV51" i="5"/>
  <c r="AU51" i="5"/>
  <c r="AT51" i="5"/>
  <c r="AS51" i="5"/>
  <c r="AR51" i="5"/>
  <c r="AO51" i="5"/>
  <c r="AN51" i="5"/>
  <c r="AK51" i="5"/>
  <c r="AJ51" i="5"/>
  <c r="BS50" i="5"/>
  <c r="BR50" i="5"/>
  <c r="BL50" i="5"/>
  <c r="AZ50" i="5"/>
  <c r="AW50" i="5"/>
  <c r="AV50" i="5"/>
  <c r="AU50" i="5"/>
  <c r="AT50" i="5"/>
  <c r="AS50" i="5"/>
  <c r="AR50" i="5"/>
  <c r="AO50" i="5"/>
  <c r="AN50" i="5"/>
  <c r="AK50" i="5"/>
  <c r="AJ50" i="5"/>
  <c r="BS49" i="5"/>
  <c r="BR49" i="5"/>
  <c r="BL49" i="5"/>
  <c r="AZ49" i="5"/>
  <c r="AW49" i="5"/>
  <c r="AV49" i="5"/>
  <c r="AU49" i="5"/>
  <c r="AT49" i="5"/>
  <c r="AS49" i="5"/>
  <c r="AR49" i="5"/>
  <c r="AO49" i="5"/>
  <c r="AN49" i="5"/>
  <c r="AK49" i="5"/>
  <c r="AJ49" i="5"/>
  <c r="BS48" i="5"/>
  <c r="BR48" i="5"/>
  <c r="BL48" i="5"/>
  <c r="AZ48" i="5"/>
  <c r="AW48" i="5"/>
  <c r="AV48" i="5"/>
  <c r="AU48" i="5"/>
  <c r="AT48" i="5"/>
  <c r="AS48" i="5"/>
  <c r="AR48" i="5"/>
  <c r="AO48" i="5"/>
  <c r="AN48" i="5"/>
  <c r="AK48" i="5"/>
  <c r="AJ48" i="5"/>
  <c r="BS47" i="5"/>
  <c r="BR47" i="5"/>
  <c r="BL47" i="5"/>
  <c r="AZ47" i="5"/>
  <c r="AW47" i="5"/>
  <c r="AV47" i="5"/>
  <c r="AU47" i="5"/>
  <c r="AT47" i="5"/>
  <c r="AS47" i="5"/>
  <c r="AR47" i="5"/>
  <c r="AO47" i="5"/>
  <c r="AN47" i="5"/>
  <c r="AK47" i="5"/>
  <c r="AJ47" i="5"/>
  <c r="BS46" i="5"/>
  <c r="BR46" i="5"/>
  <c r="BL46" i="5"/>
  <c r="AZ46" i="5"/>
  <c r="AW46" i="5"/>
  <c r="AV46" i="5"/>
  <c r="AU46" i="5"/>
  <c r="AT46" i="5"/>
  <c r="AS46" i="5"/>
  <c r="AR46" i="5"/>
  <c r="AO46" i="5"/>
  <c r="AN46" i="5"/>
  <c r="AK46" i="5"/>
  <c r="AJ46" i="5"/>
  <c r="BS45" i="5"/>
  <c r="BR45" i="5"/>
  <c r="BL45" i="5"/>
  <c r="AZ45" i="5"/>
  <c r="AW45" i="5"/>
  <c r="AV45" i="5"/>
  <c r="AU45" i="5"/>
  <c r="AT45" i="5"/>
  <c r="AS45" i="5"/>
  <c r="AR45" i="5"/>
  <c r="AO45" i="5"/>
  <c r="AN45" i="5"/>
  <c r="AK45" i="5"/>
  <c r="AJ45" i="5"/>
  <c r="BS44" i="5"/>
  <c r="BR44" i="5"/>
  <c r="BL44" i="5"/>
  <c r="AZ44" i="5"/>
  <c r="AW44" i="5"/>
  <c r="AV44" i="5"/>
  <c r="AU44" i="5"/>
  <c r="AT44" i="5"/>
  <c r="AS44" i="5"/>
  <c r="AR44" i="5"/>
  <c r="AO44" i="5"/>
  <c r="AN44" i="5"/>
  <c r="AK44" i="5"/>
  <c r="AJ44" i="5"/>
  <c r="BS43" i="5"/>
  <c r="BR43" i="5"/>
  <c r="BL43" i="5"/>
  <c r="AZ43" i="5"/>
  <c r="AW43" i="5"/>
  <c r="AV43" i="5"/>
  <c r="AU43" i="5"/>
  <c r="AT43" i="5"/>
  <c r="AS43" i="5"/>
  <c r="AR43" i="5"/>
  <c r="AO43" i="5"/>
  <c r="AN43" i="5"/>
  <c r="AK43" i="5"/>
  <c r="AJ43" i="5"/>
  <c r="BS42" i="5"/>
  <c r="BR42" i="5"/>
  <c r="BL42" i="5"/>
  <c r="AZ42" i="5"/>
  <c r="AW42" i="5"/>
  <c r="AV42" i="5"/>
  <c r="AU42" i="5"/>
  <c r="AT42" i="5"/>
  <c r="AS42" i="5"/>
  <c r="AR42" i="5"/>
  <c r="AO42" i="5"/>
  <c r="AN42" i="5"/>
  <c r="AK42" i="5"/>
  <c r="AJ42" i="5"/>
  <c r="BS41" i="5"/>
  <c r="BR41" i="5"/>
  <c r="BL41" i="5"/>
  <c r="AZ41" i="5"/>
  <c r="AW41" i="5"/>
  <c r="AV41" i="5"/>
  <c r="AU41" i="5"/>
  <c r="AT41" i="5"/>
  <c r="AS41" i="5"/>
  <c r="AR41" i="5"/>
  <c r="AO41" i="5"/>
  <c r="AN41" i="5"/>
  <c r="AK41" i="5"/>
  <c r="AJ41" i="5"/>
  <c r="BS40" i="5"/>
  <c r="BR40" i="5"/>
  <c r="BL40" i="5"/>
  <c r="AZ40" i="5"/>
  <c r="AW40" i="5"/>
  <c r="AV40" i="5"/>
  <c r="AU40" i="5"/>
  <c r="AT40" i="5"/>
  <c r="AS40" i="5"/>
  <c r="AR40" i="5"/>
  <c r="AO40" i="5"/>
  <c r="AN40" i="5"/>
  <c r="AK40" i="5"/>
  <c r="AJ40" i="5"/>
  <c r="BS39" i="5"/>
  <c r="BR39" i="5"/>
  <c r="BL39" i="5"/>
  <c r="AZ39" i="5"/>
  <c r="AW39" i="5"/>
  <c r="AV39" i="5"/>
  <c r="AU39" i="5"/>
  <c r="AT39" i="5"/>
  <c r="AS39" i="5"/>
  <c r="AR39" i="5"/>
  <c r="AO39" i="5"/>
  <c r="AN39" i="5"/>
  <c r="AK39" i="5"/>
  <c r="AJ39" i="5"/>
  <c r="BS38" i="5"/>
  <c r="BR38" i="5"/>
  <c r="BL38" i="5"/>
  <c r="AZ38" i="5"/>
  <c r="AW38" i="5"/>
  <c r="AV38" i="5"/>
  <c r="AU38" i="5"/>
  <c r="AT38" i="5"/>
  <c r="AS38" i="5"/>
  <c r="AR38" i="5"/>
  <c r="AO38" i="5"/>
  <c r="AN38" i="5"/>
  <c r="AK38" i="5"/>
  <c r="AJ38" i="5"/>
  <c r="BS37" i="5"/>
  <c r="BR37" i="5"/>
  <c r="BL37" i="5"/>
  <c r="AZ37" i="5"/>
  <c r="AW37" i="5"/>
  <c r="AV37" i="5"/>
  <c r="AU37" i="5"/>
  <c r="AT37" i="5"/>
  <c r="AS37" i="5"/>
  <c r="AR37" i="5"/>
  <c r="AO37" i="5"/>
  <c r="AN37" i="5"/>
  <c r="AK37" i="5"/>
  <c r="AJ37" i="5"/>
  <c r="BS36" i="5"/>
  <c r="BR36" i="5"/>
  <c r="BL36" i="5"/>
  <c r="AZ36" i="5"/>
  <c r="AW36" i="5"/>
  <c r="AV36" i="5"/>
  <c r="AU36" i="5"/>
  <c r="AT36" i="5"/>
  <c r="AS36" i="5"/>
  <c r="AR36" i="5"/>
  <c r="AO36" i="5"/>
  <c r="AN36" i="5"/>
  <c r="AK36" i="5"/>
  <c r="AJ36" i="5"/>
  <c r="BL35" i="5"/>
  <c r="AZ35" i="5"/>
  <c r="AW35" i="5"/>
  <c r="AV35" i="5"/>
  <c r="AU35" i="5"/>
  <c r="AT35" i="5"/>
  <c r="AS35" i="5"/>
  <c r="AR35" i="5"/>
  <c r="AO35" i="5"/>
  <c r="AN35" i="5"/>
  <c r="AK35" i="5"/>
  <c r="AJ35" i="5"/>
  <c r="BL34" i="5"/>
  <c r="AZ34" i="5"/>
  <c r="AW34" i="5"/>
  <c r="AV34" i="5"/>
  <c r="AU34" i="5"/>
  <c r="AT34" i="5"/>
  <c r="AS34" i="5"/>
  <c r="AR34" i="5"/>
  <c r="AO34" i="5"/>
  <c r="AN34" i="5"/>
  <c r="AK34" i="5"/>
  <c r="AJ34" i="5"/>
  <c r="BL33" i="5"/>
  <c r="AZ33" i="5"/>
  <c r="AW33" i="5"/>
  <c r="AV33" i="5"/>
  <c r="AU33" i="5"/>
  <c r="AT33" i="5"/>
  <c r="AS33" i="5"/>
  <c r="AR33" i="5"/>
  <c r="AO33" i="5"/>
  <c r="AN33" i="5"/>
  <c r="AK33" i="5"/>
  <c r="AJ33" i="5"/>
  <c r="BL32" i="5"/>
  <c r="AZ32" i="5"/>
  <c r="AW32" i="5"/>
  <c r="AV32" i="5"/>
  <c r="AU32" i="5"/>
  <c r="AT32" i="5"/>
  <c r="AS32" i="5"/>
  <c r="AR32" i="5"/>
  <c r="AO32" i="5"/>
  <c r="AN32" i="5"/>
  <c r="AK32" i="5"/>
  <c r="AJ32" i="5"/>
  <c r="BL31" i="5"/>
  <c r="AZ31" i="5"/>
  <c r="AW31" i="5"/>
  <c r="AV31" i="5"/>
  <c r="AU31" i="5"/>
  <c r="AT31" i="5"/>
  <c r="AS31" i="5"/>
  <c r="AR31" i="5"/>
  <c r="AO31" i="5"/>
  <c r="AN31" i="5"/>
  <c r="AK31" i="5"/>
  <c r="AJ31" i="5"/>
  <c r="BL30" i="5"/>
  <c r="AZ30" i="5"/>
  <c r="AW30" i="5"/>
  <c r="AV30" i="5"/>
  <c r="AU30" i="5"/>
  <c r="AT30" i="5"/>
  <c r="AS30" i="5"/>
  <c r="AR30" i="5"/>
  <c r="AO30" i="5"/>
  <c r="AN30" i="5"/>
  <c r="AK30" i="5"/>
  <c r="AJ30" i="5"/>
  <c r="BL29" i="5"/>
  <c r="AZ29" i="5"/>
  <c r="AW29" i="5"/>
  <c r="AV29" i="5"/>
  <c r="AU29" i="5"/>
  <c r="AT29" i="5"/>
  <c r="AS29" i="5"/>
  <c r="AR29" i="5"/>
  <c r="AO29" i="5"/>
  <c r="AN29" i="5"/>
  <c r="AK29" i="5"/>
  <c r="AJ29" i="5"/>
  <c r="BL28" i="5"/>
  <c r="AZ28" i="5"/>
  <c r="AW28" i="5"/>
  <c r="AV28" i="5"/>
  <c r="AU28" i="5"/>
  <c r="AT28" i="5"/>
  <c r="AS28" i="5"/>
  <c r="AR28" i="5"/>
  <c r="AO28" i="5"/>
  <c r="AN28" i="5"/>
  <c r="AK28" i="5"/>
  <c r="AJ28" i="5"/>
  <c r="BL27" i="5"/>
  <c r="AZ27" i="5"/>
  <c r="AW27" i="5"/>
  <c r="AV27" i="5"/>
  <c r="AU27" i="5"/>
  <c r="AT27" i="5"/>
  <c r="AS27" i="5"/>
  <c r="AR27" i="5"/>
  <c r="AO27" i="5"/>
  <c r="AN27" i="5"/>
  <c r="AK27" i="5"/>
  <c r="AJ27" i="5"/>
  <c r="BL26" i="5"/>
  <c r="AZ26" i="5"/>
  <c r="AW26" i="5"/>
  <c r="AV26" i="5"/>
  <c r="AU26" i="5"/>
  <c r="AT26" i="5"/>
  <c r="AS26" i="5"/>
  <c r="AR26" i="5"/>
  <c r="AO26" i="5"/>
  <c r="AN26" i="5"/>
  <c r="AK26" i="5"/>
  <c r="AJ26" i="5"/>
  <c r="BL25" i="5"/>
  <c r="AZ25" i="5"/>
  <c r="AW25" i="5"/>
  <c r="AV25" i="5"/>
  <c r="AU25" i="5"/>
  <c r="AT25" i="5"/>
  <c r="AS25" i="5"/>
  <c r="AR25" i="5"/>
  <c r="AO25" i="5"/>
  <c r="AN25" i="5"/>
  <c r="AJ25" i="5"/>
  <c r="BS130" i="4"/>
  <c r="BR130" i="4"/>
  <c r="BS129" i="4"/>
  <c r="BR129" i="4"/>
  <c r="BS128" i="4"/>
  <c r="BR128" i="4"/>
  <c r="BS127" i="4"/>
  <c r="BR127" i="4"/>
  <c r="BS126" i="4"/>
  <c r="BR126" i="4"/>
  <c r="BS125" i="4"/>
  <c r="BR125" i="4"/>
  <c r="BS124" i="4"/>
  <c r="BR124" i="4"/>
  <c r="BS123" i="4"/>
  <c r="BR123" i="4"/>
  <c r="BS122" i="4"/>
  <c r="BR122" i="4"/>
  <c r="BS121" i="4"/>
  <c r="BR121" i="4"/>
  <c r="BS120" i="4"/>
  <c r="BR120" i="4"/>
  <c r="BS119" i="4"/>
  <c r="BR119" i="4"/>
  <c r="BS118" i="4"/>
  <c r="BR118" i="4"/>
  <c r="BS117" i="4"/>
  <c r="BR117" i="4"/>
  <c r="BS116" i="4"/>
  <c r="BR116" i="4"/>
  <c r="BS115" i="4"/>
  <c r="BR115" i="4"/>
  <c r="BS114" i="4"/>
  <c r="BR114" i="4"/>
  <c r="BS113" i="4"/>
  <c r="BR113" i="4"/>
  <c r="BS112" i="4"/>
  <c r="BR112" i="4"/>
  <c r="BS111" i="4"/>
  <c r="BR111" i="4"/>
  <c r="BS110" i="4"/>
  <c r="BR110" i="4"/>
  <c r="BS109" i="4"/>
  <c r="BR109" i="4"/>
  <c r="BS108" i="4"/>
  <c r="BR108" i="4"/>
  <c r="BS107" i="4"/>
  <c r="BR107" i="4"/>
  <c r="BS106" i="4"/>
  <c r="BR106" i="4"/>
  <c r="BS105" i="4"/>
  <c r="BR105" i="4"/>
  <c r="BS104" i="4"/>
  <c r="BR104" i="4"/>
  <c r="BS103" i="4"/>
  <c r="BR103" i="4"/>
  <c r="BS102" i="4"/>
  <c r="BR102" i="4"/>
  <c r="BS101" i="4"/>
  <c r="BR101" i="4"/>
  <c r="BS100" i="4"/>
  <c r="BR100" i="4"/>
  <c r="BS99" i="4"/>
  <c r="BR99" i="4"/>
  <c r="BS98" i="4"/>
  <c r="BR98" i="4"/>
  <c r="BS97" i="4"/>
  <c r="BR97" i="4"/>
  <c r="BS96" i="4"/>
  <c r="BR96" i="4"/>
  <c r="BS95" i="4"/>
  <c r="BR95" i="4"/>
  <c r="BS94" i="4"/>
  <c r="BR94" i="4"/>
  <c r="BS93" i="4"/>
  <c r="BR93" i="4"/>
  <c r="BS92" i="4"/>
  <c r="BR92" i="4"/>
  <c r="BS91" i="4"/>
  <c r="BR91" i="4"/>
  <c r="BS90" i="4"/>
  <c r="BR90" i="4"/>
  <c r="BS89" i="4"/>
  <c r="BR89" i="4"/>
  <c r="BS88" i="4"/>
  <c r="BR88" i="4"/>
  <c r="BS87" i="4"/>
  <c r="BR87" i="4"/>
  <c r="BS86" i="4"/>
  <c r="BR86" i="4"/>
  <c r="BS85" i="4"/>
  <c r="BR85" i="4"/>
  <c r="BS84" i="4"/>
  <c r="BR84" i="4"/>
  <c r="BS83" i="4"/>
  <c r="BR83" i="4"/>
  <c r="BS82" i="4"/>
  <c r="BR82" i="4"/>
  <c r="BS81" i="4"/>
  <c r="BR81" i="4"/>
  <c r="BS80" i="4"/>
  <c r="BR80" i="4"/>
  <c r="BS79" i="4"/>
  <c r="BR79" i="4"/>
  <c r="BS78" i="4"/>
  <c r="BR78" i="4"/>
  <c r="BS77" i="4"/>
  <c r="BR77" i="4"/>
  <c r="BS76" i="4"/>
  <c r="BR76" i="4"/>
  <c r="BS75" i="4"/>
  <c r="BR75" i="4"/>
  <c r="BS74" i="4"/>
  <c r="BR74" i="4"/>
  <c r="BS73" i="4"/>
  <c r="BR73" i="4"/>
  <c r="BS72" i="4"/>
  <c r="BR72" i="4"/>
  <c r="BS71" i="4"/>
  <c r="BR71" i="4"/>
  <c r="BS70" i="4"/>
  <c r="BR70" i="4"/>
  <c r="BS69" i="4"/>
  <c r="BR69" i="4"/>
  <c r="BS68" i="4"/>
  <c r="BR68" i="4"/>
  <c r="BS67" i="4"/>
  <c r="BR67" i="4"/>
  <c r="BS66" i="4"/>
  <c r="BR66" i="4"/>
  <c r="BS65" i="4"/>
  <c r="BR65" i="4"/>
  <c r="BS64" i="4"/>
  <c r="BR64" i="4"/>
  <c r="BS63" i="4"/>
  <c r="BR63" i="4"/>
  <c r="BS62" i="4"/>
  <c r="BR62" i="4"/>
  <c r="BS61" i="4"/>
  <c r="BR61" i="4"/>
</calcChain>
</file>

<file path=xl/sharedStrings.xml><?xml version="1.0" encoding="utf-8"?>
<sst xmlns="http://schemas.openxmlformats.org/spreadsheetml/2006/main" count="919" uniqueCount="566">
  <si>
    <r>
      <rPr>
        <b/>
        <sz val="14"/>
        <color theme="1"/>
        <rFont val="Calibri"/>
        <family val="2"/>
        <scheme val="minor"/>
      </rPr>
      <t>Nota:</t>
    </r>
    <r>
      <rPr>
        <sz val="14"/>
        <color theme="1"/>
        <rFont val="Calibri"/>
        <family val="2"/>
        <scheme val="minor"/>
      </rPr>
      <t xml:space="preserve"> por favor completar la información con la mayor cantidad de </t>
    </r>
    <r>
      <rPr>
        <b/>
        <sz val="14"/>
        <color theme="1"/>
        <rFont val="Calibri"/>
        <family val="2"/>
        <scheme val="minor"/>
      </rPr>
      <t>datos históricos disponibles</t>
    </r>
  </si>
  <si>
    <t>Sector Real</t>
  </si>
  <si>
    <t>Sector Monetario</t>
  </si>
  <si>
    <t>Balanza de Pagos</t>
  </si>
  <si>
    <t>Sector Fiscal</t>
  </si>
  <si>
    <t>Años</t>
  </si>
  <si>
    <t>PIB Nominal</t>
  </si>
  <si>
    <t>PIB Real</t>
  </si>
  <si>
    <t>PIB potencial</t>
  </si>
  <si>
    <t>Brecha del PIB</t>
  </si>
  <si>
    <t>Crecimiento PIB Real</t>
  </si>
  <si>
    <t>Inversión Privada</t>
  </si>
  <si>
    <t>Inversión Privada
% del PIB</t>
  </si>
  <si>
    <t xml:space="preserve">Importaciones  </t>
  </si>
  <si>
    <t>Importaciones
% del PIB</t>
  </si>
  <si>
    <t xml:space="preserve">Exportaciones  </t>
  </si>
  <si>
    <t>Exportaciones
% del PIB</t>
  </si>
  <si>
    <t>Inflación (%)</t>
  </si>
  <si>
    <t>Tasa de Política Monetaria (%)</t>
  </si>
  <si>
    <t>Tasa activa promedio (%)</t>
  </si>
  <si>
    <t>Tasa pasiva promedio (%)</t>
  </si>
  <si>
    <t>Reservas Internacionales Netas (USD)</t>
  </si>
  <si>
    <t>Reservas Internacionales Netas
% del PIB</t>
  </si>
  <si>
    <t>Remesas Internacionales (USD)</t>
  </si>
  <si>
    <t>Remesas Internacionales
% del PIB</t>
  </si>
  <si>
    <t>Saldo Cuenta Corriente (USD)</t>
  </si>
  <si>
    <t>Saldo Cuenta Corriente
% del PIB</t>
  </si>
  <si>
    <t>Saldo Cuenta Capital (USD)</t>
  </si>
  <si>
    <t>Saldo Cuenta Capital
% del PIB</t>
  </si>
  <si>
    <t>Ingreso Fiscal (Total)</t>
  </si>
  <si>
    <t>Ingreso Fiscal (Total)
% del PIB</t>
  </si>
  <si>
    <t>Ingreso por Materias Primas</t>
  </si>
  <si>
    <t>Ingreso por Materias Primas
% del PIB</t>
  </si>
  <si>
    <t>Ingreso Tributario</t>
  </si>
  <si>
    <t>Ingreso Tributario
% del PIB</t>
  </si>
  <si>
    <t>Ingreso Impuestos Consumo</t>
  </si>
  <si>
    <t>Ingreso Impuestos Consumo
% del PIB</t>
  </si>
  <si>
    <t>Ingreso Impuestos Renta Laboral</t>
  </si>
  <si>
    <t>Ingreso Impuestos Renta Laboral
% del PIB</t>
  </si>
  <si>
    <t>Ingreso Impuestos Renta de capital</t>
  </si>
  <si>
    <t>Ingreso Impuestos Renta de capital
% del PIB</t>
  </si>
  <si>
    <t>Ingreso Impuestos Renta de Empresas</t>
  </si>
  <si>
    <t>Ingreso Impuestos Renta de Empresas
% del PIB</t>
  </si>
  <si>
    <t>Ingreso Otros</t>
  </si>
  <si>
    <t>Ingreso Otros
% del PIB</t>
  </si>
  <si>
    <t>Gasto Público Total</t>
  </si>
  <si>
    <t>Gasto Público Total
% del PIB</t>
  </si>
  <si>
    <t>Gasto Público Primario</t>
  </si>
  <si>
    <t>Gasto Público Primario
% del PIB</t>
  </si>
  <si>
    <t>Gasto Corriente Primario</t>
  </si>
  <si>
    <t>Gasto Corriente Primario
% del PIB</t>
  </si>
  <si>
    <t>Gasto de Capital</t>
  </si>
  <si>
    <t>Gasto de Capital
% del PIB</t>
  </si>
  <si>
    <t>Pago de Intereses</t>
  </si>
  <si>
    <t>Pago de Intereses
% del PIB</t>
  </si>
  <si>
    <t>Balance Primario</t>
  </si>
  <si>
    <t>Balance Primario
% del PIB</t>
  </si>
  <si>
    <t>Balance Total</t>
  </si>
  <si>
    <t>Balance Total
% del PIB</t>
  </si>
  <si>
    <t>Deuda Bruta
% del PIB</t>
  </si>
  <si>
    <t>Completar con los pronósticos que se tengan en caso de estar disponibles</t>
  </si>
  <si>
    <t>Consumo Privado</t>
  </si>
  <si>
    <t>Consumo Privado
% del PIB</t>
  </si>
  <si>
    <t>Tasa de Cambio
(por Dólar)</t>
  </si>
  <si>
    <t>Saldo Cuenta financiera (USD)</t>
  </si>
  <si>
    <t>Saldo Cuenta financiera
% del PIB</t>
  </si>
  <si>
    <t>Errores y omisiones (USD)</t>
  </si>
  <si>
    <t>Errores y omisiones
% del PIB</t>
  </si>
  <si>
    <t>Inversión extranjera directa 
(USD)</t>
  </si>
  <si>
    <t>Inversión extranjera directa
% del PIB</t>
  </si>
  <si>
    <t>Inversión en adaptación al cambio climático</t>
  </si>
  <si>
    <t>Inversión en adaptación al cambio climático
% del PIB</t>
  </si>
  <si>
    <t>Gasto en atención a desastres naturales</t>
  </si>
  <si>
    <t>Gasto en atención a desastres naturales
% del PIB</t>
  </si>
  <si>
    <t>Plantilla de datos para estimación de modelo FISLAC - Brasil</t>
  </si>
  <si>
    <t>Fonte: Histórico BCB</t>
  </si>
  <si>
    <t>https://www.bcb.gov.br/content/estatisticas/Documents/Tabelas_especiais/Divggnp.xlsx</t>
  </si>
  <si>
    <t>Fonte: Projeções STN para o ARF-PLDO a parir de 2025</t>
  </si>
  <si>
    <t>% do PIB</t>
  </si>
  <si>
    <t>R$ Milhões</t>
  </si>
  <si>
    <t>2008.I</t>
  </si>
  <si>
    <t>2008.II</t>
  </si>
  <si>
    <t>2008.III</t>
  </si>
  <si>
    <t>2008.IV</t>
  </si>
  <si>
    <t>2009.I</t>
  </si>
  <si>
    <t>2009.II</t>
  </si>
  <si>
    <t>2009.III</t>
  </si>
  <si>
    <t>2009.IV</t>
  </si>
  <si>
    <t>2010.I</t>
  </si>
  <si>
    <t>2010.II</t>
  </si>
  <si>
    <t>2010.III</t>
  </si>
  <si>
    <t>2010.IV</t>
  </si>
  <si>
    <t>2011.I</t>
  </si>
  <si>
    <t>2011.II</t>
  </si>
  <si>
    <t>2011.III</t>
  </si>
  <si>
    <t>2011.IV</t>
  </si>
  <si>
    <t>2012.I</t>
  </si>
  <si>
    <t>2012.II</t>
  </si>
  <si>
    <t>2012.III</t>
  </si>
  <si>
    <t>2012.IV</t>
  </si>
  <si>
    <t>2013.I</t>
  </si>
  <si>
    <t>2013.II</t>
  </si>
  <si>
    <t>2013.III</t>
  </si>
  <si>
    <t>2013.IV</t>
  </si>
  <si>
    <t>2014.I</t>
  </si>
  <si>
    <t>2014.II</t>
  </si>
  <si>
    <t>2014.III</t>
  </si>
  <si>
    <t>2014.IV</t>
  </si>
  <si>
    <t>2015.I</t>
  </si>
  <si>
    <t>2015.II</t>
  </si>
  <si>
    <t>2015.III</t>
  </si>
  <si>
    <t>2015.IV</t>
  </si>
  <si>
    <t>2016.I</t>
  </si>
  <si>
    <t>2016.II</t>
  </si>
  <si>
    <t>2016.III</t>
  </si>
  <si>
    <t>2016.IV</t>
  </si>
  <si>
    <t>2017.I</t>
  </si>
  <si>
    <t>2017.II</t>
  </si>
  <si>
    <t>2017.III</t>
  </si>
  <si>
    <t>2017.IV</t>
  </si>
  <si>
    <t>2018.I</t>
  </si>
  <si>
    <t>2018.II</t>
  </si>
  <si>
    <t>2018.III</t>
  </si>
  <si>
    <t>2018.IV</t>
  </si>
  <si>
    <t>2019.I</t>
  </si>
  <si>
    <t>2019.II</t>
  </si>
  <si>
    <t>2019.III</t>
  </si>
  <si>
    <t>2019.IV</t>
  </si>
  <si>
    <t>2020.I</t>
  </si>
  <si>
    <t>2020.II</t>
  </si>
  <si>
    <t>2020.III</t>
  </si>
  <si>
    <t>2020.IV</t>
  </si>
  <si>
    <t>2021.I</t>
  </si>
  <si>
    <t>2021.II</t>
  </si>
  <si>
    <t>2021.III</t>
  </si>
  <si>
    <t>2021.IV</t>
  </si>
  <si>
    <t>2022.I</t>
  </si>
  <si>
    <t>2022.II</t>
  </si>
  <si>
    <t>2022.III</t>
  </si>
  <si>
    <t>2022.IV</t>
  </si>
  <si>
    <t>2023.I</t>
  </si>
  <si>
    <t>2023.II</t>
  </si>
  <si>
    <t>2023.III</t>
  </si>
  <si>
    <t>2023.IV</t>
  </si>
  <si>
    <t>2024.I</t>
  </si>
  <si>
    <t>2024.II</t>
  </si>
  <si>
    <t>2024.III</t>
  </si>
  <si>
    <t>2024.IV</t>
  </si>
  <si>
    <t>2025.I</t>
  </si>
  <si>
    <t>2025.II</t>
  </si>
  <si>
    <t>2025Q1</t>
  </si>
  <si>
    <t>2025Q2</t>
  </si>
  <si>
    <t>2025Q3</t>
  </si>
  <si>
    <t>2025Q4</t>
  </si>
  <si>
    <t>2024Q1</t>
  </si>
  <si>
    <t>2024Q2</t>
  </si>
  <si>
    <t>2024Q3</t>
  </si>
  <si>
    <t>2024Q4</t>
  </si>
  <si>
    <t>2023Q1</t>
  </si>
  <si>
    <t>2023Q2</t>
  </si>
  <si>
    <t>2023Q3</t>
  </si>
  <si>
    <t>2023Q4</t>
  </si>
  <si>
    <t>2022Q1</t>
  </si>
  <si>
    <t>2022Q2</t>
  </si>
  <si>
    <t>2022Q3</t>
  </si>
  <si>
    <t>2022Q4</t>
  </si>
  <si>
    <t>2021Q1</t>
  </si>
  <si>
    <t>2021Q2</t>
  </si>
  <si>
    <t>2021Q3</t>
  </si>
  <si>
    <t>2021Q4</t>
  </si>
  <si>
    <t>2020Q1</t>
  </si>
  <si>
    <t>2020Q2</t>
  </si>
  <si>
    <t>2020Q3</t>
  </si>
  <si>
    <t>2020Q4</t>
  </si>
  <si>
    <t>2019Q1</t>
  </si>
  <si>
    <t>2019Q2</t>
  </si>
  <si>
    <t>2019Q3</t>
  </si>
  <si>
    <t>2019Q4</t>
  </si>
  <si>
    <t>2018Q1</t>
  </si>
  <si>
    <t>2018Q2</t>
  </si>
  <si>
    <t>2018Q3</t>
  </si>
  <si>
    <t>2018Q4</t>
  </si>
  <si>
    <t>2017Q1</t>
  </si>
  <si>
    <t>2017Q2</t>
  </si>
  <si>
    <t>2017Q3</t>
  </si>
  <si>
    <t>2017Q4</t>
  </si>
  <si>
    <t>2016Q1</t>
  </si>
  <si>
    <t>2016Q2</t>
  </si>
  <si>
    <t>2016Q3</t>
  </si>
  <si>
    <t>2016Q4</t>
  </si>
  <si>
    <t>2015Q1</t>
  </si>
  <si>
    <t>2015Q2</t>
  </si>
  <si>
    <t>2015Q3</t>
  </si>
  <si>
    <t>2015Q4</t>
  </si>
  <si>
    <t>2014Q1</t>
  </si>
  <si>
    <t>2014Q2</t>
  </si>
  <si>
    <t>2014Q3</t>
  </si>
  <si>
    <t>2014Q4</t>
  </si>
  <si>
    <t>2013Q1</t>
  </si>
  <si>
    <t>2013Q2</t>
  </si>
  <si>
    <t>2013Q3</t>
  </si>
  <si>
    <t>2013Q4</t>
  </si>
  <si>
    <t>2012Q1</t>
  </si>
  <si>
    <t>2012Q2</t>
  </si>
  <si>
    <t>2012Q3</t>
  </si>
  <si>
    <t>2012Q4</t>
  </si>
  <si>
    <t>2011Q1</t>
  </si>
  <si>
    <t>2011Q2</t>
  </si>
  <si>
    <t>2011Q3</t>
  </si>
  <si>
    <t>2011Q4</t>
  </si>
  <si>
    <t>2010Q1</t>
  </si>
  <si>
    <t>2010Q2</t>
  </si>
  <si>
    <t>2010Q3</t>
  </si>
  <si>
    <t>2010Q4</t>
  </si>
  <si>
    <t>2009Q1</t>
  </si>
  <si>
    <t>2009Q2</t>
  </si>
  <si>
    <t>2009Q3</t>
  </si>
  <si>
    <t>2009Q4</t>
  </si>
  <si>
    <t>2008Q1</t>
  </si>
  <si>
    <t>2008Q2</t>
  </si>
  <si>
    <t>2008Q3</t>
  </si>
  <si>
    <t>2008Q4</t>
  </si>
  <si>
    <t>2007Q1</t>
  </si>
  <si>
    <t>2007Q2</t>
  </si>
  <si>
    <t>2007Q3</t>
  </si>
  <si>
    <t>2007Q4</t>
  </si>
  <si>
    <t>2006Q1</t>
  </si>
  <si>
    <t>2006Q2</t>
  </si>
  <si>
    <t>2006Q3</t>
  </si>
  <si>
    <t>2006Q4</t>
  </si>
  <si>
    <t>2005Q1</t>
  </si>
  <si>
    <t>2005Q2</t>
  </si>
  <si>
    <t>2005Q3</t>
  </si>
  <si>
    <t>2005Q4</t>
  </si>
  <si>
    <t>2004Q1</t>
  </si>
  <si>
    <t>2004Q2</t>
  </si>
  <si>
    <t>2004Q3</t>
  </si>
  <si>
    <t>2004Q4</t>
  </si>
  <si>
    <t>2003Q1</t>
  </si>
  <si>
    <t>2003Q2</t>
  </si>
  <si>
    <t>2003Q3</t>
  </si>
  <si>
    <t>2003Q4</t>
  </si>
  <si>
    <t>2002Q1</t>
  </si>
  <si>
    <t>2002Q2</t>
  </si>
  <si>
    <t>2002Q3</t>
  </si>
  <si>
    <t>2002Q4</t>
  </si>
  <si>
    <t>2001Q1</t>
  </si>
  <si>
    <t>2001Q2</t>
  </si>
  <si>
    <t>2001Q3</t>
  </si>
  <si>
    <t>2001Q4</t>
  </si>
  <si>
    <t>2000Q1</t>
  </si>
  <si>
    <t>2000Q2</t>
  </si>
  <si>
    <t>2000Q3</t>
  </si>
  <si>
    <t>2000Q4</t>
  </si>
  <si>
    <t>1999Q1</t>
  </si>
  <si>
    <t>1999Q2</t>
  </si>
  <si>
    <t>1999Q3</t>
  </si>
  <si>
    <t>1999Q4</t>
  </si>
  <si>
    <t>1998Q1</t>
  </si>
  <si>
    <t>1998Q2</t>
  </si>
  <si>
    <t>1998Q3</t>
  </si>
  <si>
    <t>1998Q4</t>
  </si>
  <si>
    <t>1997Q1</t>
  </si>
  <si>
    <t>1997Q2</t>
  </si>
  <si>
    <t>1997Q3</t>
  </si>
  <si>
    <t>1997Q4</t>
  </si>
  <si>
    <t>1996Q1</t>
  </si>
  <si>
    <t>1996Q2</t>
  </si>
  <si>
    <t>1996Q3</t>
  </si>
  <si>
    <t>1996Q4</t>
  </si>
  <si>
    <t>1995Q1</t>
  </si>
  <si>
    <t>1995Q2</t>
  </si>
  <si>
    <t>1995Q3</t>
  </si>
  <si>
    <t>1995Q4</t>
  </si>
  <si>
    <t>2026Q1</t>
  </si>
  <si>
    <t>2026Q2</t>
  </si>
  <si>
    <t>2026Q3</t>
  </si>
  <si>
    <t>2026Q4</t>
  </si>
  <si>
    <t>2027Q1</t>
  </si>
  <si>
    <t>2027Q2</t>
  </si>
  <si>
    <t>2027Q3</t>
  </si>
  <si>
    <t>2027Q4</t>
  </si>
  <si>
    <t>2028Q1</t>
  </si>
  <si>
    <t>2028Q2</t>
  </si>
  <si>
    <t>2028Q3</t>
  </si>
  <si>
    <t>2028Q4</t>
  </si>
  <si>
    <t>Deuda Bruta (R$ Milhões)</t>
  </si>
  <si>
    <t>Tabela 1 - Projeções fiscais para 10 anos - R$ bilhões correntes</t>
  </si>
  <si>
    <t>Discriminação</t>
  </si>
  <si>
    <t>1. RECEITA PRIMÁRIA TOTAL</t>
  </si>
  <si>
    <t>1.1 - Receita Administrada pela RFB</t>
  </si>
  <si>
    <t>1.1.1 Imposto de Importação</t>
  </si>
  <si>
    <t>1.1.2 IPI</t>
  </si>
  <si>
    <t>1.1.2.1    IPI - Fumo</t>
  </si>
  <si>
    <t>1.1.2.2    IPI - Bebidas</t>
  </si>
  <si>
    <t>1.1.2.3    IPI - Automóveis</t>
  </si>
  <si>
    <t>1.1.2.4    IPI - Vinculado a importação</t>
  </si>
  <si>
    <t>1.1.2.5    IPI - Outros</t>
  </si>
  <si>
    <t>1.1.3 Imposto de Renda</t>
  </si>
  <si>
    <t>1.1.3.1 IR - Pessoa Física</t>
  </si>
  <si>
    <t>1.1.3.2 IR - Pessoa Jurídica</t>
  </si>
  <si>
    <t>1.1.3.3 IR - Retido na Fonte</t>
  </si>
  <si>
    <t>1.1.3.3.1 IRRF - Rendimentos do Trabalho</t>
  </si>
  <si>
    <t>1.1.3.3.2 IRRF - Rendimentos do Capital</t>
  </si>
  <si>
    <t>1.1.3.3.3 IRRF - Remessas ao Exterior</t>
  </si>
  <si>
    <t>1.1.3.3.4 IRRF - Outros Rendimentos</t>
  </si>
  <si>
    <t>1.1.4 IOF</t>
  </si>
  <si>
    <t>1.1.5 Cofins</t>
  </si>
  <si>
    <t>1.1.6 PIS/Pasep</t>
  </si>
  <si>
    <t>1.1.7 CSLL</t>
  </si>
  <si>
    <t>1.1.8 CPMF</t>
  </si>
  <si>
    <t>1.1.9 CIDE Combustíveis</t>
  </si>
  <si>
    <t>1.1.10 Outras Receitas Administradas pela RFB</t>
  </si>
  <si>
    <t>1.2 - Incentivos Fiscais</t>
  </si>
  <si>
    <t>1.3 - Arrecadação Líquida para o RGPS</t>
  </si>
  <si>
    <t>1.4 - Receitas Não Administradas pela RFB</t>
  </si>
  <si>
    <t>1.4.1 Concessões e Permissões</t>
  </si>
  <si>
    <t>1.4.2 Dividendos e Participações</t>
  </si>
  <si>
    <t>1.4.3 Contr. Plano de Seguridade Social do Servidor (CPSS)</t>
  </si>
  <si>
    <t>1.4.4 Receitas de Exploração de Recursos Naturais</t>
  </si>
  <si>
    <t>1.4.5 Receitas Próprias (fontes 50, 81 e 82)</t>
  </si>
  <si>
    <t>1.4.6 Contribuição do Salário Educação</t>
  </si>
  <si>
    <t>1.4.7 Complemento para o FGTS (LC nº 110/01)</t>
  </si>
  <si>
    <t>1.4.8 Demais Receitas Não Administradas pela RFB</t>
  </si>
  <si>
    <r>
      <t xml:space="preserve">1.5 - Receitas Adicionais </t>
    </r>
    <r>
      <rPr>
        <b/>
        <i/>
        <vertAlign val="superscript"/>
        <sz val="12"/>
        <color theme="1"/>
        <rFont val="Aptos"/>
        <family val="2"/>
      </rPr>
      <t>1/</t>
    </r>
  </si>
  <si>
    <t>2. TRANSF. POR REPARTIÇÃO DE RECEITA</t>
  </si>
  <si>
    <t>2.1 FPM / FPE / IPI-EE</t>
  </si>
  <si>
    <t>2.2 Fundos Constitucionais</t>
  </si>
  <si>
    <t>2.2.1 Repasse Total</t>
  </si>
  <si>
    <t>2.2.2 Superávit dos Fundos</t>
  </si>
  <si>
    <t>2.3 Transferência de Contribuição do Salário Educação</t>
  </si>
  <si>
    <t>2.4 Transferências de Exploração de Recursos Naturais</t>
  </si>
  <si>
    <t>2.5 Transferência da CIDE - Combustíveis</t>
  </si>
  <si>
    <t>2.6 Demais Transferências por Repartição de Receita</t>
  </si>
  <si>
    <t>3. RECEITA LÍQUIDA (1 - 2)</t>
  </si>
  <si>
    <r>
      <t xml:space="preserve">4. DESPESA PRIMÁRIA TOTAL </t>
    </r>
    <r>
      <rPr>
        <b/>
        <vertAlign val="superscript"/>
        <sz val="12"/>
        <color theme="4"/>
        <rFont val="Aptos"/>
        <family val="2"/>
      </rPr>
      <t>2/</t>
    </r>
  </si>
  <si>
    <t xml:space="preserve">4.1 Benefícios Previdenciários </t>
  </si>
  <si>
    <t>4.2 Pessoal e Encargos Sociais</t>
  </si>
  <si>
    <t>4.3 Outras Despesas Obrigatórias</t>
  </si>
  <si>
    <t>4.3.1 Benefícios de Prestação Continuada da LOAS/RMV</t>
  </si>
  <si>
    <t>4.3.2 Abono e Seguro Desemprego</t>
  </si>
  <si>
    <t>4.3.3 Fundef/Fundeb - Complementação da União</t>
  </si>
  <si>
    <t>4.3.4 Sentenças Judiciais e Precatórios (Custeio e Capital)</t>
  </si>
  <si>
    <t>4.3.5 Subsídios, Subvenções e Proagro</t>
  </si>
  <si>
    <t>4.3.6 Demais Despesas Obrigatórias</t>
  </si>
  <si>
    <t>4.4 Despesas Obrigatórias com Controle de Fluxo</t>
  </si>
  <si>
    <t>d/q Bolsa Família/Auxílio Brasil</t>
  </si>
  <si>
    <t>4.5 Despesas Discricionárias do Executivo</t>
  </si>
  <si>
    <t>5. RESULTADO PRIMÁRIO GOVERNO CENTRAL (3 - 4)</t>
  </si>
  <si>
    <r>
      <t xml:space="preserve">6. RESULTADO PRIMÁRIO DOS GOVERNOS REGIONAIS </t>
    </r>
    <r>
      <rPr>
        <b/>
        <vertAlign val="superscript"/>
        <sz val="12"/>
        <color theme="4"/>
        <rFont val="Aptos"/>
        <family val="2"/>
      </rPr>
      <t>3/</t>
    </r>
  </si>
  <si>
    <t>7. RESULTADO PRIMÁRIO DAS EMPRESAS ESTATAIS FEDERAIS</t>
  </si>
  <si>
    <t>8. RESULTADO PRIMÁRIO DO SETOR PÚBLICO NÃO FINANCEIRO (5 + 6 + 7)</t>
  </si>
  <si>
    <t>9. JUROS DA DÍVIDA LÍQUIDA DO SETOR PÚBLICO</t>
  </si>
  <si>
    <t>10. JUROS DA DÍVIDA BRUTA DO GOVERNO GERAL</t>
  </si>
  <si>
    <t>11. NECESSIDADE DE FINANCIAMENTO DO SETOR PÚBLICO (9 - 8)</t>
  </si>
  <si>
    <r>
      <t xml:space="preserve">12. DÍVIDA LÍQUIDA DO SETOR PÚBLICO </t>
    </r>
    <r>
      <rPr>
        <b/>
        <vertAlign val="superscript"/>
        <sz val="12"/>
        <color theme="4"/>
        <rFont val="Aptos"/>
        <family val="2"/>
      </rPr>
      <t>4/</t>
    </r>
  </si>
  <si>
    <r>
      <t xml:space="preserve">13. DÍVIDA BRUTA DO GOVERNO GERAL </t>
    </r>
    <r>
      <rPr>
        <b/>
        <vertAlign val="superscript"/>
        <sz val="12"/>
        <color theme="4"/>
        <rFont val="Aptos"/>
        <family val="2"/>
      </rPr>
      <t>4/</t>
    </r>
  </si>
  <si>
    <r>
      <t xml:space="preserve">14. DÍVIDA LÍQUIDA DO GOVERNO GERAL </t>
    </r>
    <r>
      <rPr>
        <b/>
        <vertAlign val="superscript"/>
        <sz val="12"/>
        <color theme="4"/>
        <rFont val="Aptos"/>
        <family val="2"/>
      </rPr>
      <t>4/</t>
    </r>
  </si>
  <si>
    <t>Nota: Projeções consideram o Cenário de Referência do Relatório de Projeções Fiscais, que tem como premissa a adoção de medidas de receita para cumprimento das metas de resultado primário do PLDO 2026.</t>
  </si>
  <si>
    <r>
      <rPr>
        <vertAlign val="superscript"/>
        <sz val="8"/>
        <rFont val="Aptos"/>
        <family val="2"/>
      </rPr>
      <t xml:space="preserve">1/ </t>
    </r>
    <r>
      <rPr>
        <sz val="8"/>
        <rFont val="Aptos"/>
        <family val="2"/>
      </rPr>
      <t>Receitas líquidas adicionais necessárias para atingir as metas fiscais.</t>
    </r>
  </si>
  <si>
    <r>
      <rPr>
        <vertAlign val="superscript"/>
        <sz val="8"/>
        <rFont val="Aptos"/>
        <family val="2"/>
      </rPr>
      <t xml:space="preserve">2/ </t>
    </r>
    <r>
      <rPr>
        <sz val="8"/>
        <rFont val="Aptos"/>
        <family val="2"/>
      </rPr>
      <t>Em 2024, as despesas são apresentadas pelo critério de pagamento efetivo.</t>
    </r>
  </si>
  <si>
    <r>
      <rPr>
        <vertAlign val="superscript"/>
        <sz val="8"/>
        <rFont val="Aptos"/>
        <family val="2"/>
      </rPr>
      <t xml:space="preserve">3/ </t>
    </r>
    <r>
      <rPr>
        <sz val="8"/>
        <rFont val="Aptos"/>
        <family val="2"/>
      </rPr>
      <t>Inclui o resultado primário das empresas estatais regionais.</t>
    </r>
  </si>
  <si>
    <r>
      <rPr>
        <vertAlign val="superscript"/>
        <sz val="8"/>
        <rFont val="Aptos"/>
        <family val="2"/>
      </rPr>
      <t xml:space="preserve">4/ </t>
    </r>
    <r>
      <rPr>
        <sz val="8"/>
        <rFont val="Aptos"/>
        <family val="2"/>
      </rPr>
      <t>Posição de dezembro de cada ano.</t>
    </r>
  </si>
  <si>
    <t>Memorando</t>
  </si>
  <si>
    <t>LIMITE DE GASTOS*</t>
  </si>
  <si>
    <t>Despesas sujeitas ao Limite**</t>
  </si>
  <si>
    <t>DESPESAS NÃO SUJEITAS AO LIMITE*</t>
  </si>
  <si>
    <t>TAXAS IMPLÍCITAS DA DÍVIDA PÚBLICA</t>
  </si>
  <si>
    <t>Dívida líquida do setor público (% a.a.)</t>
  </si>
  <si>
    <t>Dívida bruta do governo geral (% a.a.)</t>
  </si>
  <si>
    <t xml:space="preserve">*Considera o limite de despesas da LC 200/2023. </t>
  </si>
  <si>
    <r>
      <t xml:space="preserve">**A diferença entre o limite de despesa e as despesas sujeitas ao limite justifica-se pelo </t>
    </r>
    <r>
      <rPr>
        <i/>
        <sz val="8"/>
        <color theme="1"/>
        <rFont val="Aptos"/>
        <family val="2"/>
      </rPr>
      <t>float</t>
    </r>
    <r>
      <rPr>
        <sz val="8"/>
        <color theme="1"/>
        <rFont val="Aptos"/>
        <family val="2"/>
      </rPr>
      <t xml:space="preserve">, dado que o novo limite de despesas é orçamentário e as projeções do Relatório de Projeções Fiscais são financeiras. </t>
    </r>
  </si>
  <si>
    <t>Tabela 2 - Projeções fiscais para 10 anos - % do PIB</t>
  </si>
  <si>
    <r>
      <t xml:space="preserve">1.5 - Receitas Adicionais </t>
    </r>
    <r>
      <rPr>
        <b/>
        <i/>
        <vertAlign val="superscript"/>
        <sz val="12"/>
        <color theme="4"/>
        <rFont val="Aptos"/>
        <family val="2"/>
      </rPr>
      <t>1/</t>
    </r>
  </si>
  <si>
    <t>Voltar</t>
  </si>
  <si>
    <t>Tabela 2.2-A Resultado Primário do Governo Central - Brasil - Anual</t>
  </si>
  <si>
    <r>
      <t xml:space="preserve">1. RECEITA TOTAL </t>
    </r>
    <r>
      <rPr>
        <b/>
        <vertAlign val="superscript"/>
        <sz val="12"/>
        <color theme="8" tint="-0.499984740745262"/>
        <rFont val="Calibri"/>
        <family val="2"/>
        <scheme val="minor"/>
      </rPr>
      <t>1/</t>
    </r>
  </si>
  <si>
    <t>1.1 -  Receita Administrada pela RFB</t>
  </si>
  <si>
    <t>1.1.01    Imposto sobre a Importação</t>
  </si>
  <si>
    <t>1.1.02    IPI</t>
  </si>
  <si>
    <t>1.1.02.1    IPI - Fumo</t>
  </si>
  <si>
    <t>1.1.02.2    IPI - Bebidas</t>
  </si>
  <si>
    <t>1.1.02.3    IPI - Automóveis</t>
  </si>
  <si>
    <t>1.1.02.4    IPI - Vinculado à importação</t>
  </si>
  <si>
    <t>1.1.02.5    IPI - Outros</t>
  </si>
  <si>
    <t>1.1.03    Imposto sobre a Renda</t>
  </si>
  <si>
    <t>1.1.03.1  I.R. - Pessoa Física</t>
  </si>
  <si>
    <t>1.1.03.2  I.R. - Pessoa Jurídica</t>
  </si>
  <si>
    <t>1.1.03.3  I.R. - Retido na fonte</t>
  </si>
  <si>
    <t>1.1.03.3.1    IRRF - Rendimentos do Trabalho</t>
  </si>
  <si>
    <t>1.1.03.3.2    IRRF - Rendimentos do Capital</t>
  </si>
  <si>
    <t>1.1.03.3.3    IRRF - Rendimentos de Residentes no Exterior</t>
  </si>
  <si>
    <t>1.1.03.3.4    IRRF - Outros Rendimentos</t>
  </si>
  <si>
    <t>1.1.04    IOF</t>
  </si>
  <si>
    <t>1.1.05    Cofins</t>
  </si>
  <si>
    <t>1.1.06    PIS/Pasep</t>
  </si>
  <si>
    <t>1.1.07    CSLL</t>
  </si>
  <si>
    <t>1.1.08    CPMF</t>
  </si>
  <si>
    <t>1.1.09    CIDE - Combustíveis</t>
  </si>
  <si>
    <t>1.1.10  Outras Receitas Administradas pela RFB</t>
  </si>
  <si>
    <t>1.2 -  Incentivos Fiscais</t>
  </si>
  <si>
    <t>1.3 -  Arrecadação Líquida para o RGPS</t>
  </si>
  <si>
    <t>1.3.1    Arrecadação Líquida para o RGPS - Urbana</t>
  </si>
  <si>
    <t>1.3.2    Arrecadação Líquida para o RGPS - Rural</t>
  </si>
  <si>
    <t>1.4 -  Receitas Não Administradas pela RFB</t>
  </si>
  <si>
    <t>1.4.1  Concessões e Permissões</t>
  </si>
  <si>
    <t>1.4.2  Dividendos e Participações</t>
  </si>
  <si>
    <t>1.4.2.1  Banco do Brasil</t>
  </si>
  <si>
    <t>1.4.2.2  BNB</t>
  </si>
  <si>
    <t>1.4.2.3  BNDES</t>
  </si>
  <si>
    <t>1.4.2.4  Caixa Econômica Federal</t>
  </si>
  <si>
    <t>1.4.2.5  Empresa Brasileira de Correios e Telégrafos (Correios)</t>
  </si>
  <si>
    <t>1.4.2.6  Eletrobrás</t>
  </si>
  <si>
    <t>1.4.2.7  IRB</t>
  </si>
  <si>
    <t>1.4.2.8  Petrobras</t>
  </si>
  <si>
    <t>1.4.2.9  Demais Dividendos e Participações</t>
  </si>
  <si>
    <t>1.4.3  Contr. Plano de Seguridade Social do Servidor</t>
  </si>
  <si>
    <t>1.4.4  Receitas de Exploração de Recursos Naturais</t>
  </si>
  <si>
    <t>1.4.5  Receitas Próprias (fontes 50, 81 e 82)</t>
  </si>
  <si>
    <t>1.4.6  Contribuição do Salário Educação</t>
  </si>
  <si>
    <t>1.4.7  Complemento para o FGTS (LC nº 110/01)</t>
  </si>
  <si>
    <t>1.4.8  Demais Receitas Não Administradas pela RFB</t>
  </si>
  <si>
    <t>1.4.8.1 d/q Receitas de Operações com Ativos</t>
  </si>
  <si>
    <r>
      <t xml:space="preserve">2. TRANSF. POR REPARTIÇÃO DE RECEITA </t>
    </r>
    <r>
      <rPr>
        <b/>
        <vertAlign val="superscript"/>
        <sz val="12"/>
        <color theme="8" tint="-0.499984740745262"/>
        <rFont val="Calibri"/>
        <family val="2"/>
        <scheme val="minor"/>
      </rPr>
      <t>2/</t>
    </r>
  </si>
  <si>
    <t>2.1  FPM / FPE / IPI-EE</t>
  </si>
  <si>
    <t>2.2  Fundos Constitucionais</t>
  </si>
  <si>
    <t>2.2.1  Repasse Total</t>
  </si>
  <si>
    <t>2.2.2  Superávit dos Fundos</t>
  </si>
  <si>
    <t>2.3  Transferência de Contribuição do Salário Educação</t>
  </si>
  <si>
    <t>2.4  Transferências de Exploração de Recursos Naturais</t>
  </si>
  <si>
    <t>2.5  Transferência da CIDE - Combustíveis</t>
  </si>
  <si>
    <t>2.6  Demais Transferências por Repartição de Receita</t>
  </si>
  <si>
    <t>3. RECEITA LÍQUIDA  (1-2)</t>
  </si>
  <si>
    <r>
      <t xml:space="preserve">4. DESPESA TOTAL </t>
    </r>
    <r>
      <rPr>
        <b/>
        <vertAlign val="superscript"/>
        <sz val="12"/>
        <color theme="8" tint="-0.499984740745262"/>
        <rFont val="Calibri"/>
        <family val="2"/>
        <scheme val="minor"/>
      </rPr>
      <t>2/</t>
    </r>
  </si>
  <si>
    <t xml:space="preserve">4.1  Benefícios Previdenciários </t>
  </si>
  <si>
    <r>
      <t xml:space="preserve">4.1.1 Benefícios Previdenciários - Urbano </t>
    </r>
    <r>
      <rPr>
        <b/>
        <i/>
        <vertAlign val="superscript"/>
        <sz val="12"/>
        <color theme="1"/>
        <rFont val="Calibri"/>
        <family val="2"/>
        <scheme val="minor"/>
      </rPr>
      <t>3/</t>
    </r>
  </si>
  <si>
    <t>4.1.1.1 Sent. Judiciais e Precatórios de Benefícios Previdenciários - Urbano</t>
  </si>
  <si>
    <r>
      <t xml:space="preserve">4.1.2 Benefícios Previdenciários - Rural </t>
    </r>
    <r>
      <rPr>
        <b/>
        <i/>
        <vertAlign val="superscript"/>
        <sz val="12"/>
        <color theme="1"/>
        <rFont val="Calibri"/>
        <family val="2"/>
        <scheme val="minor"/>
      </rPr>
      <t>3/</t>
    </r>
  </si>
  <si>
    <t>4.1.2.1 Sent. Judiciais e Precatórios de Benefícios Previdenciários - Rural</t>
  </si>
  <si>
    <t>4.2  Pessoal e Encargos Sociais</t>
  </si>
  <si>
    <t>4.2.1 Sent. Judiciais e Precatórios de Pessoal e Encargos</t>
  </si>
  <si>
    <t>4.3  Outras Despesas Obrigatórias</t>
  </si>
  <si>
    <t>4.3.01 Abono e Seguro Desemprego</t>
  </si>
  <si>
    <t>4.3.01.1 Abono</t>
  </si>
  <si>
    <t>4.3.01.2 Seguro Desemprego</t>
  </si>
  <si>
    <t>4.3.01.2.1 d/q Seguro Defeso</t>
  </si>
  <si>
    <t>4.3.02  Anistiados</t>
  </si>
  <si>
    <t>4.3.03  Apoio Fin. EE/MM</t>
  </si>
  <si>
    <t>4.3.04  Benefícios de Legislação Especial e Indenizações</t>
  </si>
  <si>
    <t>4.3.05  Benefícios de Prestação Continuada da LOAS/RMV</t>
  </si>
  <si>
    <t>4.3.05.1 Sentenças Judiciais e Precatórios de BPC/LOAS</t>
  </si>
  <si>
    <t>4.3.06  Complemento para o FGTS (LC nº 110/01)</t>
  </si>
  <si>
    <r>
      <t xml:space="preserve">4.3.07  Créditos Extraordinários </t>
    </r>
    <r>
      <rPr>
        <vertAlign val="superscript"/>
        <sz val="12"/>
        <color theme="1"/>
        <rFont val="Calibri"/>
        <family val="2"/>
        <scheme val="minor"/>
      </rPr>
      <t>16/</t>
    </r>
  </si>
  <si>
    <t>4.3.08  Compensação ao RGPS pelas Desonerações da Folha</t>
  </si>
  <si>
    <t>4.3.09  Fabricação de Cédulas e Moedas</t>
  </si>
  <si>
    <t>4.3.10  FUNDEB (Complem. União)</t>
  </si>
  <si>
    <t>4.3.11  Fundo Constitucional DF (Custeio e Capital)</t>
  </si>
  <si>
    <t>4.3.12  Legislativo/Judiciário/MPU/DPU (Custeio e Capital)</t>
  </si>
  <si>
    <t>4.3.13  Lei Kandir (LC nº 87/96 e 102/00) e LC nº 176 de 2020</t>
  </si>
  <si>
    <t>4.3.14  Sentenças Judiciais e Precatórios (Custeio e Capital)</t>
  </si>
  <si>
    <t>4.3.15  Subsídios, Subvenções e Proagro</t>
  </si>
  <si>
    <t>4.3.15.1 Operações Oficiais de Crédito e Reordenamento de Passivos</t>
  </si>
  <si>
    <t>4.3.15.1.1 Equalização de custeio agropecuário</t>
  </si>
  <si>
    <r>
      <t xml:space="preserve">4.1.15.1.2 Equalização de invest. rural e agroindustrial </t>
    </r>
    <r>
      <rPr>
        <vertAlign val="superscript"/>
        <sz val="12"/>
        <color theme="1"/>
        <rFont val="Calibri"/>
        <family val="2"/>
        <scheme val="minor"/>
      </rPr>
      <t>4/</t>
    </r>
  </si>
  <si>
    <t>4.3.15.1.3 Política de preços agrícolas</t>
  </si>
  <si>
    <t>4.3.15.1.3.1 Equalização Empréstimo do Governo Federal</t>
  </si>
  <si>
    <t>4.3.15.1.3.2 Equalização Aquisições do Governo Federal</t>
  </si>
  <si>
    <t>4.3.15.1.3.3 Garantia à Sustentação de Preços</t>
  </si>
  <si>
    <t>4.3.15.1.4 Pronaf</t>
  </si>
  <si>
    <t>4.3.15.1.4.1 Equalização Empréstimo do Governo Federal</t>
  </si>
  <si>
    <r>
      <t xml:space="preserve">4.3.15.1.4.2 Concessão de Financiamento </t>
    </r>
    <r>
      <rPr>
        <vertAlign val="superscript"/>
        <sz val="12"/>
        <color theme="1"/>
        <rFont val="Calibri"/>
        <family val="2"/>
        <scheme val="minor"/>
      </rPr>
      <t>5/</t>
    </r>
  </si>
  <si>
    <t>4.3.15.1.4.3 Aquisição</t>
  </si>
  <si>
    <t>4.3.15.1.5 Proex</t>
  </si>
  <si>
    <t>4.3.15.1.5.1 Equalização Empréstimo do Governo Federal</t>
  </si>
  <si>
    <r>
      <t xml:space="preserve">4.3.15.1.5.2 Concessão de Financiamento </t>
    </r>
    <r>
      <rPr>
        <vertAlign val="superscript"/>
        <sz val="12"/>
        <color theme="1"/>
        <rFont val="Calibri"/>
        <family val="2"/>
        <scheme val="minor"/>
      </rPr>
      <t>5/</t>
    </r>
  </si>
  <si>
    <r>
      <t xml:space="preserve">4.3.15.1.6 Programa especial de saneamento de ativos (PESA) </t>
    </r>
    <r>
      <rPr>
        <vertAlign val="superscript"/>
        <sz val="12"/>
        <color theme="1"/>
        <rFont val="Calibri"/>
        <family val="2"/>
        <scheme val="minor"/>
      </rPr>
      <t>6/</t>
    </r>
  </si>
  <si>
    <t>4.3.15.1.7 Álcool</t>
  </si>
  <si>
    <t>4.3.15.1.8 Cacau</t>
  </si>
  <si>
    <t>4.3.15.1.9 Programa de subsídio à habitação de interesse social (PSH)</t>
  </si>
  <si>
    <t>4.3.15.1.10 Securitização da dívida agrícola (LEI 9.138/1995)</t>
  </si>
  <si>
    <r>
      <t xml:space="preserve">4.3.15.1.11 Fundo da terra/ INCRA </t>
    </r>
    <r>
      <rPr>
        <vertAlign val="superscript"/>
        <sz val="12"/>
        <color theme="1"/>
        <rFont val="Calibri"/>
        <family val="2"/>
        <scheme val="minor"/>
      </rPr>
      <t>5/</t>
    </r>
  </si>
  <si>
    <t>4.3.15.1.12 Funcafé</t>
  </si>
  <si>
    <t xml:space="preserve">4.3.15.1.13 Revitaliza </t>
  </si>
  <si>
    <t>4.3.15.1.14 Programa de Sustentação ao Investimento - PSI</t>
  </si>
  <si>
    <t>4.3.15.1.15 Operações de Microcredito Produtivo Orientado (EQMPO)</t>
  </si>
  <si>
    <r>
      <t xml:space="preserve">4.3.15.1.16 Operações de crédito destinadas a Pessoas com deficiência (EQPCD) </t>
    </r>
    <r>
      <rPr>
        <vertAlign val="superscript"/>
        <sz val="12"/>
        <color theme="1"/>
        <rFont val="Calibri"/>
        <family val="2"/>
        <scheme val="minor"/>
      </rPr>
      <t>7/</t>
    </r>
  </si>
  <si>
    <r>
      <t xml:space="preserve">4.3.15.1.17 Fundo nacional de desenvolvimento (FND) </t>
    </r>
    <r>
      <rPr>
        <vertAlign val="superscript"/>
        <sz val="12"/>
        <color theme="1"/>
        <rFont val="Calibri"/>
        <family val="2"/>
        <scheme val="minor"/>
      </rPr>
      <t>5/</t>
    </r>
  </si>
  <si>
    <t>4.3.15.1.18 Fundo Setorial Audiovisual (FSA)</t>
  </si>
  <si>
    <t>4.3.15.1.19 Capitalização à Emgea</t>
  </si>
  <si>
    <t>4.3.15.1.20 Subv. Parcial à Remuneração por Cessão de Energia Elétrica de Itaipu</t>
  </si>
  <si>
    <t>4.3.15.1.21 Subvenções Econômicas</t>
  </si>
  <si>
    <t>4.3.15.1.22 Equalização dos Fundos FDA/FDNE/FDCO</t>
  </si>
  <si>
    <t>4.3.15.1.23 Sudene</t>
  </si>
  <si>
    <r>
      <t xml:space="preserve">4.3.15.1.24 Receitas de Recuperação de Subvenções </t>
    </r>
    <r>
      <rPr>
        <vertAlign val="superscript"/>
        <sz val="12"/>
        <color theme="1"/>
        <rFont val="Calibri"/>
        <family val="2"/>
        <scheme val="minor"/>
      </rPr>
      <t>8/</t>
    </r>
  </si>
  <si>
    <t>4.3.15.2 Proagro</t>
  </si>
  <si>
    <t>4.3.15.3 PNAFE</t>
  </si>
  <si>
    <t>4.3.15.4 Demais Subsídios e Subvenções</t>
  </si>
  <si>
    <t>4.3.16 Transferências ANA</t>
  </si>
  <si>
    <t>4.3.17 Transferências Multas ANEEL</t>
  </si>
  <si>
    <t>4.3.18 Impacto Primário do FIES</t>
  </si>
  <si>
    <t>4.3.19 Financiamento de Campanha Eleitoral</t>
  </si>
  <si>
    <t>4.3.20 Demais Despesas Obrigatórias</t>
  </si>
  <si>
    <t>4.3.20.1 Auxílio CDE</t>
  </si>
  <si>
    <t>4.3.20.2 Convênios</t>
  </si>
  <si>
    <t>4.3.20.3 Doações</t>
  </si>
  <si>
    <t>4.3.20.4 FDA/FDNE</t>
  </si>
  <si>
    <t>4.3.20.5 Reserva de Contingência</t>
  </si>
  <si>
    <t>4.3.20.6 Ressarc. Est/Mun. Comb. Fósseis</t>
  </si>
  <si>
    <t>4.4  Despesas do Poder Executivo Sujeitas à Programação Financeira</t>
  </si>
  <si>
    <t>4.4.1 Obrigatórias com Controle de Fluxo</t>
  </si>
  <si>
    <t>4.4.1.1 Benefícios a servidores públicos</t>
  </si>
  <si>
    <t>4.4.1.2 Bolsa Família e Auxílio Brasil</t>
  </si>
  <si>
    <t>4.4.1.3 Saúde</t>
  </si>
  <si>
    <t>4.4.1.4 Educação</t>
  </si>
  <si>
    <t>4.4.1.5 Demais</t>
  </si>
  <si>
    <t>4.4.2 Despesas Discricionárias</t>
  </si>
  <si>
    <t>4.4.2.1 Saúde</t>
  </si>
  <si>
    <t>4.4.2.2 Educação</t>
  </si>
  <si>
    <t>4.4.2.3 Defesa</t>
  </si>
  <si>
    <t>4.4.2.4 Transporte</t>
  </si>
  <si>
    <t>4.4.2.5 Administração</t>
  </si>
  <si>
    <t>4.4.2.6 Ciência e Tecnologia</t>
  </si>
  <si>
    <t>4.4.2.7 Segurança Pública</t>
  </si>
  <si>
    <t>4.4.2.8 Assistência Social</t>
  </si>
  <si>
    <t>4.4.2.9 Demais</t>
  </si>
  <si>
    <t>5. RESULTADO PRIMÁRIO GOVERNO CENTRAL - ACIMA DA LINHA (3 - 4)</t>
  </si>
  <si>
    <t>6. AJUSTES METODOLÓGICOS</t>
  </si>
  <si>
    <r>
      <t xml:space="preserve">6.1 Ajuste Metodológico Itaipu </t>
    </r>
    <r>
      <rPr>
        <b/>
        <vertAlign val="superscript"/>
        <sz val="12"/>
        <rFont val="Calibri"/>
        <family val="2"/>
        <scheme val="minor"/>
      </rPr>
      <t>9/</t>
    </r>
  </si>
  <si>
    <r>
      <t xml:space="preserve">6.2 Ajuste Metodológico Caixa - Competência </t>
    </r>
    <r>
      <rPr>
        <b/>
        <vertAlign val="superscript"/>
        <sz val="12"/>
        <rFont val="Calibri"/>
        <family val="2"/>
        <scheme val="minor"/>
      </rPr>
      <t>10/</t>
    </r>
  </si>
  <si>
    <r>
      <t xml:space="preserve">6.3 Ajuste Metodológico Recursos Não Sacados do PIS/PASEP (EC nº 126/2022) </t>
    </r>
    <r>
      <rPr>
        <b/>
        <i/>
        <vertAlign val="superscript"/>
        <sz val="12"/>
        <rFont val="Calibri"/>
        <family val="2"/>
        <scheme val="minor"/>
      </rPr>
      <t>11/</t>
    </r>
  </si>
  <si>
    <r>
      <t xml:space="preserve">6.4 Ajuste Metodológico Compensações LC nº 194/2022 (pré-Acordo União e Estados/Distrito Federal) </t>
    </r>
    <r>
      <rPr>
        <b/>
        <i/>
        <vertAlign val="superscript"/>
        <sz val="12"/>
        <rFont val="Calibri"/>
        <family val="2"/>
        <scheme val="minor"/>
      </rPr>
      <t>12/</t>
    </r>
  </si>
  <si>
    <t xml:space="preserve">7. DISCREPÂNCIA ESTATÍSTICA </t>
  </si>
  <si>
    <t>8. RESULTADO PRIMÁRIO DO GOVERNO CENTRAL - ABAIXO DA LINHA (5 + 6 + 7)</t>
  </si>
  <si>
    <r>
      <t xml:space="preserve">9. JUROS NOMINAIS </t>
    </r>
    <r>
      <rPr>
        <b/>
        <vertAlign val="superscript"/>
        <sz val="12"/>
        <color theme="8" tint="-0.499984740745262"/>
        <rFont val="Calibri"/>
        <family val="2"/>
        <scheme val="minor"/>
      </rPr>
      <t>13/</t>
    </r>
  </si>
  <si>
    <r>
      <t xml:space="preserve">10. RESULTADO NOMINAL DO GOVERNO CENTRAL (8 + 9) </t>
    </r>
    <r>
      <rPr>
        <b/>
        <vertAlign val="superscript"/>
        <sz val="12"/>
        <color theme="8" tint="-0.499984740745262"/>
        <rFont val="Calibri"/>
        <family val="2"/>
        <scheme val="minor"/>
      </rPr>
      <t>14/</t>
    </r>
  </si>
  <si>
    <t>Arrecadação Líquida para o RGPS</t>
  </si>
  <si>
    <t>Arrecadação Ordinária</t>
  </si>
  <si>
    <t>Compensação ao RGPS pelas Desonerações da Folha</t>
  </si>
  <si>
    <t>Custeio Administrativo</t>
  </si>
  <si>
    <t>Investimento</t>
  </si>
  <si>
    <r>
      <t xml:space="preserve">PAC </t>
    </r>
    <r>
      <rPr>
        <b/>
        <i/>
        <vertAlign val="superscript"/>
        <sz val="12"/>
        <color theme="1"/>
        <rFont val="Calibri"/>
        <family val="2"/>
        <scheme val="minor"/>
      </rPr>
      <t>15/</t>
    </r>
  </si>
  <si>
    <t>Minha Casa Minha Vida</t>
  </si>
  <si>
    <t>Fundo Soberano do Brasil</t>
  </si>
  <si>
    <t>Memorando:</t>
  </si>
  <si>
    <t xml:space="preserve"> PIB Nominal (R$ Milhões)</t>
  </si>
  <si>
    <t>Obs.: Dados sujeitos à alteração.</t>
  </si>
  <si>
    <t>1/ Apurado pelo conceito de caixa, que corresponde ao ingresso efetivo na Conta Única.</t>
  </si>
  <si>
    <t>2/ Apurado pelo conceito de "pagamento efetivo", que corresponde ao valor do saque efetuado na Conta Única. A partir de 01/03/2012, inclui recursos de complementação do FGTS e despesas realizadas com recursos dessa contribuição (conforme previsto na Portaria STN nº 278, de 19/04/2012).</t>
  </si>
  <si>
    <t>3/ Fonte: Ministério da Previdência Social. A apuração do resultado do RGPS por clientela urbana e rural é realizada pelo Ministério da Previdência Social segundo metodologia própria.</t>
  </si>
  <si>
    <t>4/ Inclui retornos derivados de decisões judiciais relativas aos programas "Unificados Rurais" e "Unificados Industriais".</t>
  </si>
  <si>
    <t>5/ Concessão de empréstimos menos retornos.</t>
  </si>
  <si>
    <t>6/ Inclui "despesas" decorrentes da baixa de ativos associada a inscrição em Dívida Ativa da União.</t>
  </si>
  <si>
    <t>7/ Operações de crédito direcionadas exclusivamente para a aquisição de bens e serviços de tecnologia assistiva destinados a pessoas com deficiência, nos termos da Lei nº 12.613/2012. Concessão de empréstimos menos retornos.</t>
  </si>
  <si>
    <t>8/ Receitas referentes à devolução de diferencial de encargo, à atualização de devolução de equalização e de recuperação de despesas de exercícios anteriores.</t>
  </si>
  <si>
    <t>9/ Recursos transitórios referentes à amortização de contratos de Itaipu com o Tesouro Nacional.</t>
  </si>
  <si>
    <t>10/ Sistemática de registros nas estatísticas fiscais dos subsídios e subvenções estabelecida em conformidade com os Acórdãos nº 825/2015 e nº 3.297/2015 do TCU. Nesta nova sistemática, o BCB passou a incorporar mensalmente os efeitos fiscais desses eventos segundo o critério de competência na apuração abaixo da linha, enquanto que a STN registra semestralmente impactos quando dos pagamentos dos saldos apurados pelas instituições financeiras operadoras dos programas.</t>
  </si>
  <si>
    <t xml:space="preserve">11/ Ajuste Metodológico referente ao ingresso de recursos do PIS/Pasep não reclamados por prazo superior a 20 (vinte) anos, nos termos do art. 121 do ADCT, com redação dada pela Emenda Constitucional nº 126/2022. Enquanto na metodologia acima da linha do Tesouro Nacional estes recursos se refletiram nas Demais Receitas Não Administradas pela RFB, afetando a estatística de resultado primário do Governo Central, na metodologia abaixo da linha tal operação foi definida como ajuste patrimonial, com efeito nulo sobre o resultado primário do Governo Central. </t>
  </si>
  <si>
    <t>12/ Refere-se aos valores das compensações pelas perdas do ICMS no âmbito da LC nº 194/2022 compensados por liminares antes do acordo celebrado entre a União e os Estados e o DF no âmbito da Ação Direta de Inconstitucionalidade nº 7.191. Nas estatísticas acima da linha, esses valores foram registrados retroativamente, nos respectivos meses nos quais as parcelas das dívidas efetivamente deixaram de ser pagas à União. Já nas estatísticas abaixo da linha, tal montante impactou em sua totalidade o mês de dezembro/2023, mês no qual ocorreu a baixa dos ativos da União em decorrência das referidas compensações.</t>
  </si>
  <si>
    <t>13/ Apurado pelo critério "abaixo-da-linha". Fonte: Banco Central do Brasil.</t>
  </si>
  <si>
    <t>14/ Apurado pelo critério "abaixo-da-linha". Não considera desvalorização cambial.  Fonte: Banco Central do Brasil.</t>
  </si>
  <si>
    <t>15/ A partir da LDO de 2020, as ações relativas ao Programa de Aceleração do Crescimento deixaram de apresentar o identificador de Resultado Primário "discricionária abrangida pelo Programa de Aceleração do Crescimento - PAC (RP 3)".</t>
  </si>
  <si>
    <t>16/ Os valores desta linha até o ano de 2019 não incluem os créditos extraordinários referentes ao Programa de Aceleração do Crescimento (PAC).</t>
  </si>
  <si>
    <t>Tabela 2.2 Resultado Primário do Governo Central - Brasil - Anual</t>
  </si>
  <si>
    <t>R$ Milhões - Valores Correntes</t>
  </si>
  <si>
    <t>PIB nominal (USD)</t>
  </si>
  <si>
    <t>PIB Nominal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</si>
</sst>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 #,##0.00_);_(* \(#,##0.00\);_(* &quot;-&quot;??_);_(@_)"/>
    <numFmt numFmtId="165" formatCode="0.0%"/>
    <numFmt numFmtId="166" formatCode="_-* #,##0.0_-;\-* #,##0.0_-;_-* &quot;-&quot;??_-;_-@_-"/>
    <numFmt numFmtId="167" formatCode="0.0"/>
    <numFmt numFmtId="168" formatCode="_-* #,##0_-;\-* #,##0_-;_-* &quot;-&quot;??_-;_-@_-"/>
    <numFmt numFmtId="169" formatCode="0000"/>
    <numFmt numFmtId="170" formatCode="#,##0.0"/>
    <numFmt numFmtId="171" formatCode="_(* #,##0.0_);_(* \(#,##0.0\);_(* &quot;-&quot;??_);_(@_)"/>
    <numFmt numFmtId="172" formatCode="#,##0.0_ ;[Red]\-#,##0.0\ "/>
    <numFmt numFmtId="177" formatCode="0.00_ ;[Red]\-0.00\ "/>
    <numFmt numFmtId="178" formatCode="#,##0.00_ ;[Red]\-#,##0.00\ "/>
    <numFmt numFmtId="179" formatCode="#,##0_ ;[Red]\-#,##0\ "/>
    <numFmt numFmtId="180" formatCode="#,##0.0000_ ;[Red]\-#,##0.0000\ "/>
  </numFmts>
  <fonts count="5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sz val="10"/>
      <name val="CG Times"/>
      <family val="1"/>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b/>
      <sz val="14"/>
      <color theme="4"/>
      <name val="Aptos"/>
      <family val="2"/>
    </font>
    <font>
      <sz val="11"/>
      <color theme="1"/>
      <name val="Aptos"/>
      <family val="2"/>
    </font>
    <font>
      <sz val="12"/>
      <color theme="1"/>
      <name val="Aptos"/>
      <family val="2"/>
    </font>
    <font>
      <b/>
      <sz val="12"/>
      <color theme="0"/>
      <name val="Aptos"/>
      <family val="2"/>
    </font>
    <font>
      <b/>
      <sz val="11"/>
      <color theme="0"/>
      <name val="Aptos"/>
      <family val="2"/>
    </font>
    <font>
      <b/>
      <sz val="12"/>
      <color theme="4"/>
      <name val="Aptos"/>
      <family val="2"/>
    </font>
    <font>
      <sz val="10"/>
      <name val="Aptos"/>
      <family val="2"/>
    </font>
    <font>
      <b/>
      <i/>
      <sz val="12"/>
      <color theme="1"/>
      <name val="Aptos"/>
      <family val="2"/>
    </font>
    <font>
      <sz val="11"/>
      <name val="Aptos"/>
      <family val="2"/>
    </font>
    <font>
      <b/>
      <i/>
      <vertAlign val="superscript"/>
      <sz val="12"/>
      <color theme="1"/>
      <name val="Aptos"/>
      <family val="2"/>
    </font>
    <font>
      <b/>
      <vertAlign val="superscript"/>
      <sz val="12"/>
      <color theme="4"/>
      <name val="Aptos"/>
      <family val="2"/>
    </font>
    <font>
      <sz val="8"/>
      <name val="Aptos"/>
      <family val="2"/>
    </font>
    <font>
      <vertAlign val="superscript"/>
      <sz val="8"/>
      <name val="Aptos"/>
      <family val="2"/>
    </font>
    <font>
      <sz val="10"/>
      <color theme="1"/>
      <name val="Aptos"/>
      <family val="2"/>
    </font>
    <font>
      <i/>
      <sz val="8"/>
      <color theme="1"/>
      <name val="Aptos"/>
      <family val="2"/>
    </font>
    <font>
      <sz val="8"/>
      <color theme="1"/>
      <name val="Aptos"/>
      <family val="2"/>
    </font>
    <font>
      <b/>
      <sz val="11"/>
      <color theme="0"/>
      <name val="Calibri"/>
      <family val="2"/>
      <scheme val="minor"/>
    </font>
    <font>
      <sz val="11"/>
      <color theme="0"/>
      <name val="Calibri"/>
      <family val="2"/>
      <scheme val="minor"/>
    </font>
    <font>
      <b/>
      <i/>
      <vertAlign val="superscript"/>
      <sz val="12"/>
      <color theme="4"/>
      <name val="Aptos"/>
      <family val="2"/>
    </font>
    <font>
      <u/>
      <sz val="11"/>
      <color theme="10"/>
      <name val="Calibri"/>
      <family val="2"/>
    </font>
    <font>
      <b/>
      <sz val="13"/>
      <color theme="8" tint="-0.499984740745262"/>
      <name val="Calibri"/>
      <family val="2"/>
      <scheme val="minor"/>
    </font>
    <font>
      <sz val="11"/>
      <color theme="8" tint="-0.499984740745262"/>
      <name val="Calibri"/>
      <family val="2"/>
      <scheme val="minor"/>
    </font>
    <font>
      <sz val="12"/>
      <color theme="1"/>
      <name val="Calibri"/>
      <family val="2"/>
      <scheme val="minor"/>
    </font>
    <font>
      <b/>
      <sz val="12"/>
      <color theme="0"/>
      <name val="Calibri"/>
      <family val="2"/>
      <scheme val="minor"/>
    </font>
    <font>
      <b/>
      <sz val="12"/>
      <color theme="8" tint="-0.499984740745262"/>
      <name val="Calibri"/>
      <family val="2"/>
      <scheme val="minor"/>
    </font>
    <font>
      <b/>
      <vertAlign val="superscript"/>
      <sz val="12"/>
      <color theme="8" tint="-0.499984740745262"/>
      <name val="Calibri"/>
      <family val="2"/>
      <scheme val="minor"/>
    </font>
    <font>
      <b/>
      <sz val="11"/>
      <color theme="8" tint="-0.499984740745262"/>
      <name val="Calibri"/>
      <family val="2"/>
      <scheme val="minor"/>
    </font>
    <font>
      <b/>
      <i/>
      <sz val="12"/>
      <color theme="1"/>
      <name val="Calibri"/>
      <family val="2"/>
      <scheme val="minor"/>
    </font>
    <font>
      <b/>
      <i/>
      <sz val="11"/>
      <color theme="1"/>
      <name val="Calibri"/>
      <family val="2"/>
      <scheme val="minor"/>
    </font>
    <font>
      <sz val="10"/>
      <color theme="1"/>
      <name val="Calibri"/>
      <family val="2"/>
      <scheme val="minor"/>
    </font>
    <font>
      <sz val="9"/>
      <color theme="8" tint="-0.499984740745262"/>
      <name val="Calibri"/>
      <family val="2"/>
      <scheme val="minor"/>
    </font>
    <font>
      <sz val="9"/>
      <color theme="1"/>
      <name val="Calibri"/>
      <family val="2"/>
      <scheme val="minor"/>
    </font>
    <font>
      <b/>
      <i/>
      <vertAlign val="superscript"/>
      <sz val="12"/>
      <color theme="1"/>
      <name val="Calibri"/>
      <family val="2"/>
      <scheme val="minor"/>
    </font>
    <font>
      <i/>
      <sz val="12"/>
      <color theme="1"/>
      <name val="Calibri"/>
      <family val="2"/>
      <scheme val="minor"/>
    </font>
    <font>
      <vertAlign val="superscript"/>
      <sz val="12"/>
      <color theme="1"/>
      <name val="Calibri"/>
      <family val="2"/>
      <scheme val="minor"/>
    </font>
    <font>
      <b/>
      <i/>
      <sz val="12"/>
      <name val="Calibri"/>
      <family val="2"/>
      <scheme val="minor"/>
    </font>
    <font>
      <b/>
      <vertAlign val="superscript"/>
      <sz val="12"/>
      <name val="Calibri"/>
      <family val="2"/>
      <scheme val="minor"/>
    </font>
    <font>
      <b/>
      <i/>
      <vertAlign val="superscript"/>
      <sz val="12"/>
      <name val="Calibri"/>
      <family val="2"/>
      <scheme val="minor"/>
    </font>
    <font>
      <sz val="11"/>
      <name val="Calibri"/>
      <family val="2"/>
      <scheme val="minor"/>
    </font>
    <font>
      <b/>
      <sz val="11"/>
      <name val="Calibri"/>
      <family val="2"/>
      <scheme val="minor"/>
    </font>
    <font>
      <b/>
      <sz val="12"/>
      <color rgb="FF36517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rgb="FFFFFFCC"/>
        <bgColor indexed="64"/>
      </patternFill>
    </fill>
    <fill>
      <patternFill patternType="solid">
        <fgColor rgb="FFFFCC9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CCCCFF"/>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bgColor indexed="64"/>
      </patternFill>
    </fill>
    <fill>
      <patternFill patternType="solid">
        <fgColor theme="8" tint="-0.499984740745262"/>
        <bgColor indexed="64"/>
      </patternFill>
    </fill>
    <fill>
      <patternFill patternType="solid">
        <fgColor theme="0"/>
        <bgColor indexed="64"/>
      </patternFill>
    </fill>
  </fills>
  <borders count="11">
    <border>
      <left/>
      <right/>
      <top/>
      <bottom/>
      <diagonal/>
    </border>
    <border>
      <left/>
      <right/>
      <top style="medium">
        <color theme="4"/>
      </top>
      <bottom style="medium">
        <color theme="4"/>
      </bottom>
      <diagonal/>
    </border>
    <border>
      <left/>
      <right/>
      <top style="medium">
        <color theme="4"/>
      </top>
      <bottom/>
      <diagonal/>
    </border>
    <border>
      <left/>
      <right/>
      <top/>
      <bottom style="medium">
        <color theme="4"/>
      </bottom>
      <diagonal/>
    </border>
    <border>
      <left style="thin">
        <color indexed="64"/>
      </left>
      <right/>
      <top/>
      <bottom/>
      <diagonal/>
    </border>
    <border>
      <left/>
      <right/>
      <top style="medium">
        <color theme="8" tint="-0.499984740745262"/>
      </top>
      <bottom style="medium">
        <color theme="8" tint="-0.499984740745262"/>
      </bottom>
      <diagonal/>
    </border>
    <border>
      <left/>
      <right style="hair">
        <color theme="0" tint="-0.24994659260841701"/>
      </right>
      <top style="medium">
        <color theme="8" tint="-0.499984740745262"/>
      </top>
      <bottom style="medium">
        <color theme="8" tint="-0.499984740745262"/>
      </bottom>
      <diagonal/>
    </border>
    <border>
      <left/>
      <right style="hair">
        <color theme="0" tint="-0.24994659260841701"/>
      </right>
      <top/>
      <bottom/>
      <diagonal/>
    </border>
    <border>
      <left/>
      <right style="hair">
        <color theme="0" tint="-0.24994659260841701"/>
      </right>
      <top/>
      <bottom style="medium">
        <color theme="8" tint="-0.499984740745262"/>
      </bottom>
      <diagonal/>
    </border>
    <border>
      <left/>
      <right/>
      <top/>
      <bottom style="medium">
        <color theme="8" tint="-0.499984740745262"/>
      </bottom>
      <diagonal/>
    </border>
    <border>
      <left style="hair">
        <color theme="0" tint="-0.24994659260841701"/>
      </left>
      <right style="hair">
        <color theme="0" tint="-0.24994659260841701"/>
      </right>
      <top/>
      <bottom/>
      <diagonal/>
    </border>
  </borders>
  <cellStyleXfs count="9">
    <xf numFmtId="0" fontId="0" fillId="0" borderId="0"/>
    <xf numFmtId="9" fontId="1"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0" fontId="6" fillId="0" borderId="0">
      <alignment vertical="top"/>
    </xf>
    <xf numFmtId="164" fontId="6" fillId="0" borderId="0" applyFon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alignment vertical="top"/>
      <protection locked="0"/>
    </xf>
    <xf numFmtId="0" fontId="6" fillId="0" borderId="0"/>
  </cellStyleXfs>
  <cellXfs count="200">
    <xf numFmtId="0" fontId="0" fillId="0" borderId="0" xfId="0"/>
    <xf numFmtId="0" fontId="0" fillId="0" borderId="0" xfId="0" applyAlignment="1">
      <alignment horizontal="center" vertical="center"/>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0" fillId="7" borderId="0" xfId="0" applyFill="1" applyAlignment="1">
      <alignment horizontal="center" vertical="center" wrapText="1"/>
    </xf>
    <xf numFmtId="0" fontId="0" fillId="8" borderId="0" xfId="0" applyFill="1" applyAlignment="1">
      <alignment horizontal="center" vertical="center" wrapText="1"/>
    </xf>
    <xf numFmtId="0" fontId="0" fillId="0" borderId="0" xfId="0" applyAlignment="1">
      <alignment horizontal="center" vertical="center" wrapText="1"/>
    </xf>
    <xf numFmtId="165" fontId="0" fillId="0" borderId="0" xfId="1" applyNumberFormat="1" applyFont="1"/>
    <xf numFmtId="0" fontId="0" fillId="9" borderId="0" xfId="0" applyFill="1"/>
    <xf numFmtId="0" fontId="4" fillId="0" borderId="0" xfId="0" applyFont="1"/>
    <xf numFmtId="43" fontId="0" fillId="2" borderId="0" xfId="2" applyFont="1" applyFill="1" applyAlignment="1">
      <alignment horizontal="center" vertical="center" wrapText="1"/>
    </xf>
    <xf numFmtId="166" fontId="0" fillId="2" borderId="0" xfId="2" applyNumberFormat="1" applyFont="1" applyFill="1" applyAlignment="1">
      <alignment horizontal="center" vertical="center" wrapText="1"/>
    </xf>
    <xf numFmtId="43" fontId="0" fillId="2" borderId="0" xfId="0" applyNumberFormat="1" applyFill="1" applyAlignment="1">
      <alignment horizontal="center" vertical="center" wrapText="1"/>
    </xf>
    <xf numFmtId="43" fontId="0" fillId="9" borderId="0" xfId="2" applyFont="1" applyFill="1"/>
    <xf numFmtId="43" fontId="0" fillId="0" borderId="0" xfId="2" applyFont="1"/>
    <xf numFmtId="43" fontId="0" fillId="3" borderId="0" xfId="2" applyFont="1" applyFill="1" applyAlignment="1">
      <alignment horizontal="center" vertical="center" wrapText="1"/>
    </xf>
    <xf numFmtId="167" fontId="0" fillId="0" borderId="0" xfId="0" applyNumberFormat="1"/>
    <xf numFmtId="166" fontId="0" fillId="5" borderId="0" xfId="2" applyNumberFormat="1" applyFont="1" applyFill="1" applyAlignment="1">
      <alignment horizontal="center" vertical="center" wrapText="1"/>
    </xf>
    <xf numFmtId="43" fontId="0" fillId="6" borderId="0" xfId="2" applyFont="1" applyFill="1" applyAlignment="1">
      <alignment horizontal="center" vertical="center" wrapText="1"/>
    </xf>
    <xf numFmtId="166" fontId="0" fillId="6" borderId="0" xfId="2" applyNumberFormat="1" applyFont="1" applyFill="1" applyAlignment="1">
      <alignment horizontal="center" vertical="center" wrapText="1"/>
    </xf>
    <xf numFmtId="43" fontId="0" fillId="8" borderId="0" xfId="2" applyFont="1" applyFill="1" applyAlignment="1">
      <alignment horizontal="center" vertical="center" wrapText="1"/>
    </xf>
    <xf numFmtId="43" fontId="0" fillId="6" borderId="0" xfId="0" applyNumberFormat="1" applyFill="1" applyAlignment="1">
      <alignment horizontal="center" vertical="center" wrapText="1"/>
    </xf>
    <xf numFmtId="43" fontId="0" fillId="5" borderId="0" xfId="2" applyFont="1" applyFill="1" applyAlignment="1">
      <alignment horizontal="center" vertical="center" wrapText="1"/>
    </xf>
    <xf numFmtId="43" fontId="0" fillId="5" borderId="0" xfId="0" applyNumberFormat="1" applyFill="1" applyAlignment="1">
      <alignment horizontal="center" vertical="center" wrapText="1"/>
    </xf>
    <xf numFmtId="43" fontId="0" fillId="7" borderId="0" xfId="0" applyNumberFormat="1" applyFill="1" applyAlignment="1">
      <alignment horizontal="center" vertical="center" wrapText="1"/>
    </xf>
    <xf numFmtId="43" fontId="0" fillId="4" borderId="0" xfId="2" applyFont="1" applyFill="1" applyAlignment="1">
      <alignment horizontal="center" vertical="center" wrapText="1"/>
    </xf>
    <xf numFmtId="166" fontId="0" fillId="8" borderId="0" xfId="2" applyNumberFormat="1" applyFont="1" applyFill="1" applyAlignment="1">
      <alignment horizontal="center" vertical="center" wrapText="1"/>
    </xf>
    <xf numFmtId="0" fontId="0" fillId="0" borderId="0" xfId="0" applyAlignment="1">
      <alignment horizontal="right" vertical="center"/>
    </xf>
    <xf numFmtId="0" fontId="0" fillId="9" borderId="0" xfId="0" applyFill="1" applyAlignment="1">
      <alignment horizontal="right" vertical="center"/>
    </xf>
    <xf numFmtId="0" fontId="0" fillId="0" borderId="0" xfId="0" applyAlignment="1">
      <alignment vertical="center" wrapText="1"/>
    </xf>
    <xf numFmtId="0" fontId="7" fillId="0" borderId="0" xfId="0" applyFont="1"/>
    <xf numFmtId="0" fontId="9" fillId="0" borderId="0" xfId="6"/>
    <xf numFmtId="0" fontId="0" fillId="10" borderId="0" xfId="0" applyFill="1"/>
    <xf numFmtId="167" fontId="0" fillId="10" borderId="0" xfId="0" applyNumberFormat="1" applyFill="1"/>
    <xf numFmtId="168" fontId="0" fillId="0" borderId="0" xfId="2" applyNumberFormat="1" applyFont="1"/>
    <xf numFmtId="166" fontId="0" fillId="0" borderId="0" xfId="2" applyNumberFormat="1" applyFont="1" applyFill="1"/>
    <xf numFmtId="166" fontId="0" fillId="0" borderId="0" xfId="2" applyNumberFormat="1" applyFont="1"/>
    <xf numFmtId="43" fontId="0" fillId="10" borderId="0" xfId="2" applyFont="1" applyFill="1"/>
    <xf numFmtId="43" fontId="0" fillId="0" borderId="0" xfId="2" applyFont="1" applyFill="1"/>
    <xf numFmtId="0" fontId="10" fillId="0" borderId="0" xfId="0" applyFont="1"/>
    <xf numFmtId="0" fontId="11" fillId="0" borderId="0" xfId="0" applyFont="1"/>
    <xf numFmtId="0" fontId="12" fillId="0" borderId="0" xfId="0" applyFont="1"/>
    <xf numFmtId="0" fontId="13" fillId="11" borderId="1" xfId="0" applyFont="1" applyFill="1" applyBorder="1" applyAlignment="1">
      <alignment horizontal="center" vertical="center"/>
    </xf>
    <xf numFmtId="169" fontId="14" fillId="11" borderId="1" xfId="0" applyNumberFormat="1" applyFont="1" applyFill="1" applyBorder="1" applyAlignment="1">
      <alignment horizontal="center" vertical="center"/>
    </xf>
    <xf numFmtId="0" fontId="15" fillId="0" borderId="1" xfId="0" applyFont="1" applyBorder="1" applyAlignment="1">
      <alignment vertical="center"/>
    </xf>
    <xf numFmtId="170" fontId="16" fillId="0" borderId="1" xfId="0" applyNumberFormat="1" applyFont="1" applyBorder="1" applyAlignment="1">
      <alignment vertical="center"/>
    </xf>
    <xf numFmtId="0" fontId="17" fillId="0" borderId="2" xfId="0" applyFont="1" applyBorder="1" applyAlignment="1">
      <alignment horizontal="left" indent="1"/>
    </xf>
    <xf numFmtId="170" fontId="16" fillId="0" borderId="2" xfId="0" applyNumberFormat="1" applyFont="1" applyBorder="1" applyAlignment="1">
      <alignment vertical="center"/>
    </xf>
    <xf numFmtId="0" fontId="12" fillId="0" borderId="0" xfId="0" applyFont="1" applyAlignment="1">
      <alignment horizontal="left" indent="2"/>
    </xf>
    <xf numFmtId="170" fontId="16" fillId="0" borderId="0" xfId="0" applyNumberFormat="1" applyFont="1" applyAlignment="1">
      <alignment vertical="center"/>
    </xf>
    <xf numFmtId="0" fontId="12" fillId="0" borderId="0" xfId="0" applyFont="1" applyAlignment="1">
      <alignment horizontal="left" indent="4"/>
    </xf>
    <xf numFmtId="0" fontId="12" fillId="0" borderId="0" xfId="0" applyFont="1" applyAlignment="1">
      <alignment horizontal="left" indent="3"/>
    </xf>
    <xf numFmtId="3" fontId="18" fillId="0" borderId="0" xfId="0" applyNumberFormat="1" applyFont="1"/>
    <xf numFmtId="0" fontId="17" fillId="0" borderId="0" xfId="0" applyFont="1" applyAlignment="1">
      <alignment horizontal="left" indent="1"/>
    </xf>
    <xf numFmtId="0" fontId="17" fillId="0" borderId="3" xfId="0" applyFont="1" applyBorder="1" applyAlignment="1">
      <alignment horizontal="left" indent="1"/>
    </xf>
    <xf numFmtId="170" fontId="16" fillId="0" borderId="3" xfId="0" applyNumberFormat="1" applyFont="1" applyBorder="1" applyAlignment="1">
      <alignment vertical="center"/>
    </xf>
    <xf numFmtId="170" fontId="0" fillId="0" borderId="0" xfId="0" applyNumberFormat="1"/>
    <xf numFmtId="0" fontId="21" fillId="0" borderId="0" xfId="0" applyFont="1" applyAlignment="1">
      <alignment vertical="top"/>
    </xf>
    <xf numFmtId="0" fontId="21" fillId="0" borderId="0" xfId="0" applyFont="1" applyAlignment="1">
      <alignment vertical="top" wrapText="1"/>
    </xf>
    <xf numFmtId="0" fontId="21" fillId="0" borderId="0" xfId="0" applyFont="1"/>
    <xf numFmtId="0" fontId="21" fillId="0" borderId="0" xfId="0" applyFont="1" applyAlignment="1">
      <alignment horizontal="left" vertical="top" wrapText="1"/>
    </xf>
    <xf numFmtId="0" fontId="21" fillId="0" borderId="0" xfId="0" applyFont="1" applyAlignment="1">
      <alignment horizontal="left" wrapText="1"/>
    </xf>
    <xf numFmtId="170" fontId="23" fillId="0" borderId="0" xfId="0" applyNumberFormat="1" applyFont="1"/>
    <xf numFmtId="0" fontId="13" fillId="11" borderId="2" xfId="0" applyFont="1" applyFill="1" applyBorder="1" applyAlignment="1">
      <alignment horizontal="center" vertical="center"/>
    </xf>
    <xf numFmtId="169" fontId="14" fillId="11" borderId="2" xfId="0" applyNumberFormat="1" applyFont="1" applyFill="1" applyBorder="1" applyAlignment="1">
      <alignment horizontal="center" vertical="center"/>
    </xf>
    <xf numFmtId="170" fontId="23" fillId="0" borderId="1" xfId="0" applyNumberFormat="1" applyFont="1" applyBorder="1" applyAlignment="1">
      <alignment vertical="center"/>
    </xf>
    <xf numFmtId="0" fontId="17" fillId="0" borderId="1" xfId="0" applyFont="1" applyBorder="1" applyAlignment="1">
      <alignment horizontal="left" vertical="center" indent="1"/>
    </xf>
    <xf numFmtId="0" fontId="11" fillId="0" borderId="1" xfId="0" applyFont="1" applyBorder="1" applyAlignment="1">
      <alignment vertical="center"/>
    </xf>
    <xf numFmtId="0" fontId="17" fillId="0" borderId="2" xfId="0" applyFont="1" applyBorder="1" applyAlignment="1">
      <alignment horizontal="left" vertical="center" indent="1"/>
    </xf>
    <xf numFmtId="170" fontId="23" fillId="0" borderId="2" xfId="0" applyNumberFormat="1" applyFont="1" applyBorder="1" applyAlignment="1">
      <alignment vertical="center"/>
    </xf>
    <xf numFmtId="0" fontId="17" fillId="0" borderId="3" xfId="0" applyFont="1" applyBorder="1" applyAlignment="1">
      <alignment horizontal="left" vertical="center" indent="1"/>
    </xf>
    <xf numFmtId="170" fontId="23" fillId="0" borderId="3" xfId="0" applyNumberFormat="1" applyFont="1" applyBorder="1" applyAlignment="1">
      <alignment vertical="center"/>
    </xf>
    <xf numFmtId="0" fontId="21" fillId="0" borderId="2" xfId="0" applyFont="1" applyBorder="1"/>
    <xf numFmtId="0" fontId="11" fillId="0" borderId="2" xfId="0" applyFont="1" applyBorder="1"/>
    <xf numFmtId="171" fontId="18" fillId="0" borderId="4" xfId="0" applyNumberFormat="1" applyFont="1" applyBorder="1" applyAlignment="1">
      <alignment horizontal="left" indent="3"/>
    </xf>
    <xf numFmtId="170" fontId="11" fillId="0" borderId="0" xfId="0" applyNumberFormat="1" applyFont="1"/>
    <xf numFmtId="172" fontId="0" fillId="2" borderId="0" xfId="2" applyNumberFormat="1" applyFont="1" applyFill="1" applyAlignment="1">
      <alignment horizontal="center" vertical="center" wrapText="1"/>
    </xf>
    <xf numFmtId="172" fontId="0" fillId="2" borderId="0" xfId="0" applyNumberFormat="1" applyFill="1" applyAlignment="1">
      <alignment horizontal="center" vertical="center" wrapText="1"/>
    </xf>
    <xf numFmtId="172" fontId="0" fillId="3" borderId="0" xfId="2" applyNumberFormat="1" applyFont="1" applyFill="1" applyAlignment="1">
      <alignment horizontal="center" vertical="center" wrapText="1"/>
    </xf>
    <xf numFmtId="172" fontId="0" fillId="4" borderId="0" xfId="2" applyNumberFormat="1" applyFont="1" applyFill="1" applyAlignment="1">
      <alignment horizontal="center" vertical="center" wrapText="1"/>
    </xf>
    <xf numFmtId="172" fontId="0" fillId="5" borderId="0" xfId="2" applyNumberFormat="1" applyFont="1" applyFill="1" applyAlignment="1">
      <alignment horizontal="center" vertical="center" wrapText="1"/>
    </xf>
    <xf numFmtId="172" fontId="0" fillId="5" borderId="0" xfId="0" applyNumberFormat="1" applyFill="1" applyAlignment="1">
      <alignment horizontal="center" vertical="center" wrapText="1"/>
    </xf>
    <xf numFmtId="172" fontId="0" fillId="6" borderId="0" xfId="2" applyNumberFormat="1" applyFont="1" applyFill="1" applyAlignment="1">
      <alignment horizontal="center" vertical="center" wrapText="1"/>
    </xf>
    <xf numFmtId="172" fontId="0" fillId="6" borderId="0" xfId="0" applyNumberFormat="1" applyFill="1" applyAlignment="1">
      <alignment horizontal="center" vertical="center" wrapText="1"/>
    </xf>
    <xf numFmtId="172" fontId="0" fillId="7" borderId="0" xfId="0" applyNumberFormat="1" applyFill="1" applyAlignment="1">
      <alignment horizontal="center" vertical="center" wrapText="1"/>
    </xf>
    <xf numFmtId="172" fontId="0" fillId="8" borderId="0" xfId="2" applyNumberFormat="1" applyFont="1" applyFill="1" applyAlignment="1">
      <alignment horizontal="center" vertical="center" wrapText="1"/>
    </xf>
    <xf numFmtId="172" fontId="2" fillId="2" borderId="0" xfId="2" applyNumberFormat="1" applyFont="1" applyFill="1" applyAlignment="1">
      <alignment horizontal="center" vertical="center" wrapText="1"/>
    </xf>
    <xf numFmtId="172" fontId="0" fillId="9" borderId="0" xfId="0" applyNumberFormat="1" applyFill="1"/>
    <xf numFmtId="172" fontId="0" fillId="9" borderId="0" xfId="2" applyNumberFormat="1" applyFont="1" applyFill="1"/>
    <xf numFmtId="172" fontId="0" fillId="7" borderId="0" xfId="0" applyNumberFormat="1" applyFill="1" applyAlignment="1">
      <alignment horizontal="right" vertical="center" wrapText="1"/>
    </xf>
    <xf numFmtId="172" fontId="0" fillId="8" borderId="0" xfId="2" applyNumberFormat="1" applyFont="1" applyFill="1" applyAlignment="1">
      <alignment horizontal="right" vertical="center" wrapText="1"/>
    </xf>
    <xf numFmtId="0" fontId="0" fillId="0" borderId="0" xfId="0" applyAlignment="1">
      <alignment horizontal="left" indent="1"/>
    </xf>
    <xf numFmtId="170" fontId="16" fillId="0" borderId="1" xfId="0" applyNumberFormat="1" applyFont="1" applyBorder="1" applyAlignment="1">
      <alignment horizontal="center" vertical="center"/>
    </xf>
    <xf numFmtId="170" fontId="16" fillId="0" borderId="2" xfId="0" applyNumberFormat="1" applyFont="1" applyBorder="1" applyAlignment="1">
      <alignment horizontal="center" vertical="center"/>
    </xf>
    <xf numFmtId="170" fontId="16" fillId="0" borderId="0" xfId="0" applyNumberFormat="1" applyFont="1" applyAlignment="1">
      <alignment horizontal="center" vertical="center"/>
    </xf>
    <xf numFmtId="3" fontId="18" fillId="0" borderId="0" xfId="0" applyNumberFormat="1" applyFont="1" applyAlignment="1">
      <alignment horizontal="center"/>
    </xf>
    <xf numFmtId="170" fontId="16" fillId="0" borderId="3" xfId="0" applyNumberFormat="1" applyFont="1" applyBorder="1" applyAlignment="1">
      <alignment horizontal="center" vertical="center"/>
    </xf>
    <xf numFmtId="0" fontId="21" fillId="0" borderId="0" xfId="0" applyFont="1" applyAlignment="1">
      <alignment horizontal="center" vertical="top" wrapText="1"/>
    </xf>
    <xf numFmtId="0" fontId="21" fillId="0" borderId="0" xfId="0" applyFont="1" applyAlignment="1">
      <alignment horizontal="center" wrapText="1"/>
    </xf>
    <xf numFmtId="0" fontId="11" fillId="0" borderId="0" xfId="0" applyFont="1" applyAlignment="1">
      <alignment horizontal="center"/>
    </xf>
    <xf numFmtId="170" fontId="23" fillId="0" borderId="0" xfId="0" applyNumberFormat="1" applyFont="1" applyAlignment="1">
      <alignment horizontal="center"/>
    </xf>
    <xf numFmtId="170" fontId="23" fillId="0" borderId="1" xfId="0" applyNumberFormat="1" applyFont="1" applyBorder="1" applyAlignment="1">
      <alignment horizontal="center" vertical="center"/>
    </xf>
    <xf numFmtId="0" fontId="11" fillId="0" borderId="1" xfId="0" applyFont="1" applyBorder="1" applyAlignment="1">
      <alignment horizontal="center" vertical="center"/>
    </xf>
    <xf numFmtId="170" fontId="23" fillId="0" borderId="2" xfId="0" applyNumberFormat="1" applyFont="1" applyBorder="1" applyAlignment="1">
      <alignment horizontal="center" vertical="center"/>
    </xf>
    <xf numFmtId="170" fontId="23" fillId="0" borderId="3" xfId="0" applyNumberFormat="1" applyFont="1" applyBorder="1" applyAlignment="1">
      <alignment horizontal="center" vertical="center"/>
    </xf>
    <xf numFmtId="0" fontId="29" fillId="0" borderId="0" xfId="7" applyAlignment="1" applyProtection="1"/>
    <xf numFmtId="0" fontId="0" fillId="0" borderId="0" xfId="0" applyAlignment="1" applyProtection="1">
      <alignment horizontal="center" vertical="center"/>
      <protection locked="0"/>
    </xf>
    <xf numFmtId="0" fontId="0" fillId="0" borderId="0" xfId="0" applyAlignment="1" applyProtection="1">
      <alignment horizontal="right" vertical="center"/>
      <protection locked="0"/>
    </xf>
    <xf numFmtId="0" fontId="30" fillId="0" borderId="0" xfId="0" applyFont="1" applyAlignment="1" applyProtection="1">
      <alignment vertical="center"/>
      <protection locked="0"/>
    </xf>
    <xf numFmtId="0" fontId="31" fillId="0" borderId="0" xfId="0" applyFont="1" applyAlignment="1" applyProtection="1">
      <alignment horizontal="center" vertical="center"/>
      <protection locked="0"/>
    </xf>
    <xf numFmtId="0" fontId="31" fillId="0" borderId="0" xfId="0" applyFont="1" applyAlignment="1" applyProtection="1">
      <alignment horizontal="right" vertical="center"/>
      <protection locked="0"/>
    </xf>
    <xf numFmtId="0" fontId="32" fillId="0" borderId="0" xfId="0" applyFont="1" applyAlignment="1" applyProtection="1">
      <alignment vertical="center"/>
      <protection locked="0"/>
    </xf>
    <xf numFmtId="169" fontId="27" fillId="0" borderId="0" xfId="0" applyNumberFormat="1" applyFont="1" applyAlignment="1" applyProtection="1">
      <alignment horizontal="center" vertical="center"/>
      <protection locked="0"/>
    </xf>
    <xf numFmtId="0" fontId="33" fillId="12" borderId="5" xfId="0" applyFont="1" applyFill="1" applyBorder="1" applyAlignment="1">
      <alignment horizontal="center" vertical="center"/>
    </xf>
    <xf numFmtId="169" fontId="26" fillId="12" borderId="5" xfId="0" applyNumberFormat="1" applyFont="1" applyFill="1" applyBorder="1" applyAlignment="1">
      <alignment horizontal="center" vertical="center"/>
    </xf>
    <xf numFmtId="0" fontId="34" fillId="13" borderId="6" xfId="0" applyFont="1" applyFill="1" applyBorder="1" applyAlignment="1">
      <alignment vertical="center"/>
    </xf>
    <xf numFmtId="165" fontId="36" fillId="0" borderId="5" xfId="1" applyNumberFormat="1" applyFont="1" applyBorder="1" applyAlignment="1">
      <alignment horizontal="center" vertical="center"/>
    </xf>
    <xf numFmtId="0" fontId="37" fillId="0" borderId="7" xfId="0" applyFont="1" applyBorder="1" applyAlignment="1">
      <alignment horizontal="left" vertical="center" indent="1"/>
    </xf>
    <xf numFmtId="165" fontId="38" fillId="0" borderId="0" xfId="1" applyNumberFormat="1" applyFont="1" applyAlignment="1">
      <alignment horizontal="center" vertical="center"/>
    </xf>
    <xf numFmtId="0" fontId="38" fillId="0" borderId="0" xfId="0" applyFont="1" applyAlignment="1" applyProtection="1">
      <alignment horizontal="right" vertical="center"/>
      <protection locked="0"/>
    </xf>
    <xf numFmtId="0" fontId="32" fillId="0" borderId="7" xfId="0" applyFont="1" applyBorder="1" applyAlignment="1">
      <alignment horizontal="left" vertical="center" indent="2" shrinkToFit="1"/>
    </xf>
    <xf numFmtId="165" fontId="0" fillId="0" borderId="0" xfId="1" applyNumberFormat="1" applyFont="1" applyAlignment="1">
      <alignment horizontal="center" vertical="center"/>
    </xf>
    <xf numFmtId="0" fontId="32" fillId="13" borderId="7" xfId="0" applyFont="1" applyFill="1" applyBorder="1" applyAlignment="1">
      <alignment horizontal="left" vertical="center" indent="3"/>
    </xf>
    <xf numFmtId="0" fontId="32" fillId="13" borderId="7" xfId="0" applyFont="1" applyFill="1" applyBorder="1" applyAlignment="1">
      <alignment horizontal="left" vertical="center" indent="2"/>
    </xf>
    <xf numFmtId="0" fontId="32" fillId="13" borderId="7" xfId="0" applyFont="1" applyFill="1" applyBorder="1" applyAlignment="1">
      <alignment horizontal="left" vertical="center" indent="4"/>
    </xf>
    <xf numFmtId="0" fontId="2" fillId="0" borderId="0" xfId="0" applyFont="1" applyAlignment="1" applyProtection="1">
      <alignment horizontal="right" vertical="center"/>
      <protection locked="0"/>
    </xf>
    <xf numFmtId="0" fontId="32" fillId="13" borderId="7" xfId="0" applyFont="1" applyFill="1" applyBorder="1" applyAlignment="1">
      <alignment horizontal="left" vertical="center" indent="2" shrinkToFit="1"/>
    </xf>
    <xf numFmtId="0" fontId="39" fillId="0" borderId="0" xfId="0" applyFont="1" applyAlignment="1" applyProtection="1">
      <alignment horizontal="right" vertical="center"/>
      <protection locked="0"/>
    </xf>
    <xf numFmtId="0" fontId="34" fillId="13" borderId="8" xfId="0" applyFont="1" applyFill="1" applyBorder="1" applyAlignment="1">
      <alignment vertical="center"/>
    </xf>
    <xf numFmtId="165" fontId="36" fillId="0" borderId="9" xfId="1" applyNumberFormat="1" applyFont="1" applyBorder="1" applyAlignment="1">
      <alignment horizontal="center" vertical="center"/>
    </xf>
    <xf numFmtId="0" fontId="40" fillId="0" borderId="0" xfId="0" applyFont="1" applyAlignment="1" applyProtection="1">
      <alignment horizontal="right" vertical="center"/>
      <protection locked="0"/>
    </xf>
    <xf numFmtId="0" fontId="41" fillId="0" borderId="0" xfId="0" applyFont="1" applyAlignment="1" applyProtection="1">
      <alignment horizontal="right" vertical="center"/>
      <protection locked="0"/>
    </xf>
    <xf numFmtId="0" fontId="37" fillId="0" borderId="7" xfId="0" applyFont="1" applyBorder="1" applyAlignment="1">
      <alignment horizontal="left" vertical="center" indent="2"/>
    </xf>
    <xf numFmtId="0" fontId="43" fillId="0" borderId="7" xfId="0" applyFont="1" applyBorder="1" applyAlignment="1">
      <alignment horizontal="left" vertical="center" indent="3"/>
    </xf>
    <xf numFmtId="0" fontId="43" fillId="0" borderId="0" xfId="0" applyFont="1" applyAlignment="1">
      <alignment horizontal="left" vertical="center" indent="3"/>
    </xf>
    <xf numFmtId="0" fontId="32" fillId="0" borderId="7" xfId="0" applyFont="1" applyBorder="1" applyAlignment="1">
      <alignment horizontal="left" vertical="center" indent="3"/>
    </xf>
    <xf numFmtId="0" fontId="32" fillId="0" borderId="7" xfId="0" applyFont="1" applyBorder="1" applyAlignment="1">
      <alignment horizontal="left" vertical="center" indent="4"/>
    </xf>
    <xf numFmtId="0" fontId="43" fillId="0" borderId="10" xfId="0" applyFont="1" applyBorder="1" applyAlignment="1">
      <alignment horizontal="left" vertical="center" indent="3"/>
    </xf>
    <xf numFmtId="0" fontId="32" fillId="0" borderId="7" xfId="0" applyFont="1" applyBorder="1" applyAlignment="1">
      <alignment horizontal="left" vertical="center" indent="5"/>
    </xf>
    <xf numFmtId="0" fontId="32" fillId="0" borderId="7" xfId="0" applyFont="1" applyBorder="1" applyAlignment="1">
      <alignment horizontal="left" vertical="center" indent="6"/>
    </xf>
    <xf numFmtId="0" fontId="45" fillId="0" borderId="7" xfId="0" applyFont="1" applyBorder="1" applyAlignment="1">
      <alignment horizontal="left" vertical="center" indent="1"/>
    </xf>
    <xf numFmtId="0" fontId="48" fillId="13" borderId="0" xfId="0" applyFont="1" applyFill="1" applyAlignment="1">
      <alignment horizontal="left" indent="6"/>
    </xf>
    <xf numFmtId="165" fontId="48" fillId="13" borderId="0" xfId="1" applyNumberFormat="1" applyFont="1" applyFill="1" applyBorder="1" applyAlignment="1">
      <alignment horizontal="center"/>
    </xf>
    <xf numFmtId="0" fontId="33" fillId="12" borderId="6" xfId="0" applyFont="1" applyFill="1" applyBorder="1" applyAlignment="1">
      <alignment horizontal="center" vertical="center"/>
    </xf>
    <xf numFmtId="165" fontId="33" fillId="12" borderId="5" xfId="1" applyNumberFormat="1" applyFont="1" applyFill="1" applyBorder="1" applyAlignment="1">
      <alignment horizontal="center" vertical="center"/>
    </xf>
    <xf numFmtId="0" fontId="48" fillId="13" borderId="0" xfId="0" applyFont="1" applyFill="1" applyAlignment="1">
      <alignment horizontal="left" indent="3"/>
    </xf>
    <xf numFmtId="0" fontId="37" fillId="13" borderId="7" xfId="0" applyFont="1" applyFill="1" applyBorder="1" applyAlignment="1">
      <alignment horizontal="left" vertical="center" indent="1"/>
    </xf>
    <xf numFmtId="0" fontId="45" fillId="13" borderId="9" xfId="0" applyFont="1" applyFill="1" applyBorder="1" applyAlignment="1">
      <alignment horizontal="left" indent="1"/>
    </xf>
    <xf numFmtId="165" fontId="38" fillId="0" borderId="9" xfId="1" applyNumberFormat="1" applyFont="1" applyBorder="1" applyAlignment="1">
      <alignment horizontal="center" vertical="center"/>
    </xf>
    <xf numFmtId="0" fontId="49" fillId="13" borderId="0" xfId="0" applyFont="1" applyFill="1" applyAlignment="1">
      <alignment horizontal="left" indent="1"/>
    </xf>
    <xf numFmtId="43" fontId="0" fillId="0" borderId="0" xfId="2" applyFont="1" applyAlignment="1">
      <alignment horizontal="center" vertical="center"/>
    </xf>
    <xf numFmtId="0" fontId="33" fillId="12" borderId="0" xfId="0" applyFont="1" applyFill="1" applyAlignment="1">
      <alignment horizontal="left" vertical="center"/>
    </xf>
    <xf numFmtId="0" fontId="34" fillId="0" borderId="6" xfId="0" applyFont="1" applyBorder="1" applyAlignment="1">
      <alignment horizontal="left" vertical="center" indent="1"/>
    </xf>
    <xf numFmtId="166" fontId="36" fillId="0" borderId="5" xfId="2" applyNumberFormat="1" applyFont="1" applyBorder="1" applyAlignment="1">
      <alignment horizontal="center" vertical="center"/>
    </xf>
    <xf numFmtId="0" fontId="34" fillId="0" borderId="0" xfId="0" applyFont="1" applyAlignment="1">
      <alignment vertical="center"/>
    </xf>
    <xf numFmtId="43" fontId="34" fillId="0" borderId="0" xfId="2" applyFont="1" applyBorder="1" applyAlignment="1">
      <alignment horizontal="center" vertical="center"/>
    </xf>
    <xf numFmtId="43" fontId="34" fillId="0" borderId="0" xfId="2" applyFont="1" applyBorder="1" applyAlignment="1">
      <alignment vertical="center"/>
    </xf>
    <xf numFmtId="0" fontId="31" fillId="13" borderId="0" xfId="0" applyFont="1" applyFill="1" applyAlignment="1">
      <alignment horizontal="right" vertical="center"/>
    </xf>
    <xf numFmtId="0" fontId="39" fillId="0" borderId="0" xfId="8" applyFont="1" applyAlignment="1" applyProtection="1">
      <alignment horizontal="left" vertical="center"/>
      <protection locked="0"/>
    </xf>
    <xf numFmtId="0" fontId="39" fillId="0" borderId="0" xfId="8" applyFont="1" applyAlignment="1" applyProtection="1">
      <alignment horizontal="center" vertical="center"/>
      <protection locked="0"/>
    </xf>
    <xf numFmtId="0" fontId="39" fillId="0" borderId="0" xfId="0" applyFont="1" applyAlignment="1">
      <alignment horizontal="justify" vertical="center" wrapText="1"/>
    </xf>
    <xf numFmtId="0" fontId="39" fillId="0" borderId="0" xfId="0" applyFont="1" applyAlignment="1" applyProtection="1">
      <alignment horizontal="justify" vertical="center" wrapText="1"/>
      <protection locked="0"/>
    </xf>
    <xf numFmtId="170" fontId="0" fillId="0" borderId="0" xfId="0" applyNumberFormat="1" applyAlignment="1" applyProtection="1">
      <alignment horizontal="right" vertical="center"/>
      <protection locked="0"/>
    </xf>
    <xf numFmtId="170" fontId="31" fillId="0" borderId="0" xfId="0" applyNumberFormat="1" applyFont="1" applyAlignment="1" applyProtection="1">
      <alignment horizontal="right" vertical="center"/>
      <protection locked="0"/>
    </xf>
    <xf numFmtId="169" fontId="27" fillId="0" borderId="0" xfId="0" applyNumberFormat="1" applyFont="1" applyAlignment="1" applyProtection="1">
      <alignment horizontal="right" vertical="center"/>
      <protection locked="0"/>
    </xf>
    <xf numFmtId="166" fontId="36" fillId="0" borderId="5" xfId="2" applyNumberFormat="1" applyFont="1" applyBorder="1" applyAlignment="1">
      <alignment horizontal="right" vertical="center"/>
    </xf>
    <xf numFmtId="166" fontId="38" fillId="0" borderId="0" xfId="2" applyNumberFormat="1" applyFont="1" applyAlignment="1">
      <alignment horizontal="right" vertical="center"/>
    </xf>
    <xf numFmtId="166" fontId="0" fillId="0" borderId="0" xfId="2" applyNumberFormat="1" applyFont="1" applyAlignment="1">
      <alignment horizontal="right" vertical="center"/>
    </xf>
    <xf numFmtId="166" fontId="36" fillId="0" borderId="9" xfId="2" applyNumberFormat="1" applyFont="1" applyBorder="1" applyAlignment="1">
      <alignment horizontal="right" vertical="center"/>
    </xf>
    <xf numFmtId="166" fontId="48" fillId="13" borderId="0" xfId="2" applyNumberFormat="1" applyFont="1" applyFill="1" applyBorder="1" applyAlignment="1">
      <alignment horizontal="left" indent="6"/>
    </xf>
    <xf numFmtId="166" fontId="33" fillId="12" borderId="5" xfId="2" applyNumberFormat="1" applyFont="1" applyFill="1" applyBorder="1" applyAlignment="1">
      <alignment horizontal="center" vertical="center"/>
    </xf>
    <xf numFmtId="166" fontId="0" fillId="0" borderId="9" xfId="2" applyNumberFormat="1" applyFont="1" applyBorder="1" applyAlignment="1">
      <alignment horizontal="right" vertical="center"/>
    </xf>
    <xf numFmtId="0" fontId="50" fillId="13" borderId="0" xfId="0" applyFont="1" applyFill="1" applyAlignment="1">
      <alignment vertical="center"/>
    </xf>
    <xf numFmtId="167" fontId="0" fillId="5" borderId="0" xfId="1" applyNumberFormat="1" applyFont="1" applyFill="1" applyAlignment="1">
      <alignment horizontal="center" vertical="center" wrapText="1"/>
    </xf>
    <xf numFmtId="172" fontId="0" fillId="9" borderId="0" xfId="0" applyNumberFormat="1" applyFill="1" applyAlignment="1">
      <alignment horizontal="center" vertical="center"/>
    </xf>
    <xf numFmtId="0" fontId="3" fillId="3" borderId="0" xfId="0" applyFont="1" applyFill="1" applyAlignment="1">
      <alignment horizontal="center" vertical="center" wrapText="1"/>
    </xf>
    <xf numFmtId="0" fontId="2" fillId="9" borderId="0" xfId="0" applyFont="1" applyFill="1" applyAlignment="1">
      <alignment horizontal="center" vertical="center" wrapText="1"/>
    </xf>
    <xf numFmtId="0" fontId="3" fillId="3" borderId="0" xfId="0" applyFont="1" applyFill="1" applyAlignment="1">
      <alignment horizontal="center" vertical="center" wrapText="1"/>
    </xf>
    <xf numFmtId="0" fontId="3" fillId="5" borderId="0" xfId="0" applyFont="1" applyFill="1" applyAlignment="1">
      <alignment horizontal="center" vertical="center" wrapText="1"/>
    </xf>
    <xf numFmtId="0" fontId="3" fillId="2" borderId="0" xfId="0" applyFont="1" applyFill="1" applyAlignment="1">
      <alignment horizontal="center" vertical="center" wrapText="1"/>
    </xf>
    <xf numFmtId="0" fontId="3" fillId="4" borderId="0" xfId="0" applyFont="1" applyFill="1" applyAlignment="1">
      <alignment horizontal="center" vertical="center" wrapText="1"/>
    </xf>
    <xf numFmtId="2" fontId="0" fillId="3" borderId="0" xfId="0" applyNumberFormat="1" applyFill="1" applyAlignment="1">
      <alignment horizontal="center" vertical="center" wrapText="1"/>
    </xf>
    <xf numFmtId="2" fontId="0" fillId="3" borderId="0" xfId="2" applyNumberFormat="1" applyFont="1" applyFill="1" applyAlignment="1">
      <alignment horizontal="center" vertical="center" wrapText="1"/>
    </xf>
    <xf numFmtId="43" fontId="0" fillId="3" borderId="0" xfId="0" applyNumberFormat="1" applyFill="1" applyAlignment="1">
      <alignment horizontal="center" vertical="center" wrapText="1"/>
    </xf>
    <xf numFmtId="43" fontId="0" fillId="3" borderId="0" xfId="2" applyNumberFormat="1" applyFont="1" applyFill="1" applyAlignment="1">
      <alignment horizontal="center" vertical="center" wrapText="1"/>
    </xf>
    <xf numFmtId="2" fontId="0" fillId="3" borderId="0" xfId="0" applyNumberFormat="1" applyFill="1" applyAlignment="1">
      <alignment horizontal="right" vertical="center" wrapText="1"/>
    </xf>
    <xf numFmtId="0" fontId="0" fillId="3" borderId="0" xfId="0" applyFill="1" applyAlignment="1">
      <alignment horizontal="right" vertical="center" wrapText="1"/>
    </xf>
    <xf numFmtId="177" fontId="0" fillId="2" borderId="0" xfId="2" applyNumberFormat="1" applyFont="1" applyFill="1" applyAlignment="1">
      <alignment horizontal="center" vertical="center" wrapText="1"/>
    </xf>
    <xf numFmtId="177" fontId="0" fillId="2" borderId="0" xfId="0" applyNumberFormat="1" applyFill="1" applyAlignment="1">
      <alignment horizontal="center" vertical="center" wrapText="1"/>
    </xf>
    <xf numFmtId="178" fontId="0" fillId="2" borderId="0" xfId="2" applyNumberFormat="1" applyFont="1" applyFill="1" applyAlignment="1">
      <alignment horizontal="center" vertical="center" wrapText="1"/>
    </xf>
    <xf numFmtId="178" fontId="0" fillId="2" borderId="0" xfId="2" applyNumberFormat="1" applyFont="1" applyFill="1" applyAlignment="1">
      <alignment vertical="center" wrapText="1"/>
    </xf>
    <xf numFmtId="178" fontId="0" fillId="4" borderId="0" xfId="2" applyNumberFormat="1" applyFont="1" applyFill="1" applyAlignment="1">
      <alignment horizontal="center" vertical="center" wrapText="1"/>
    </xf>
    <xf numFmtId="178" fontId="0" fillId="4" borderId="0" xfId="0" applyNumberFormat="1" applyFill="1" applyAlignment="1">
      <alignment horizontal="center" vertical="center" wrapText="1"/>
    </xf>
    <xf numFmtId="179" fontId="0" fillId="2" borderId="0" xfId="2" applyNumberFormat="1" applyFont="1" applyFill="1" applyAlignment="1">
      <alignment horizontal="center" vertical="center" wrapText="1"/>
    </xf>
    <xf numFmtId="179" fontId="0" fillId="4" borderId="0" xfId="2" applyNumberFormat="1" applyFont="1" applyFill="1" applyAlignment="1">
      <alignment horizontal="center" vertical="center" wrapText="1"/>
    </xf>
    <xf numFmtId="179" fontId="1" fillId="4" borderId="0" xfId="2" applyNumberFormat="1" applyFont="1" applyFill="1" applyAlignment="1">
      <alignment horizontal="center" vertical="center" wrapText="1"/>
    </xf>
    <xf numFmtId="180" fontId="0" fillId="4" borderId="0" xfId="2" applyNumberFormat="1" applyFont="1" applyFill="1" applyAlignment="1">
      <alignment horizontal="center" vertical="center" wrapText="1"/>
    </xf>
  </cellXfs>
  <cellStyles count="9">
    <cellStyle name="Hiperlink" xfId="6" builtinId="8"/>
    <cellStyle name="Hiperlink 2" xfId="7" xr:uid="{2188C873-9F6E-4966-A870-FA30B37E4654}"/>
    <cellStyle name="Millares 2" xfId="3" xr:uid="{E578C470-8255-47D0-BEEB-2D04098009E6}"/>
    <cellStyle name="Millares 8" xfId="5" xr:uid="{A3F87FEC-BFAB-422E-A077-B693CF2F4E3E}"/>
    <cellStyle name="Normal" xfId="0" builtinId="0"/>
    <cellStyle name="Normal 2" xfId="8" xr:uid="{26FE1822-1E3C-4E0B-99F8-3854DBF08D9A}"/>
    <cellStyle name="Normal 2 4" xfId="4" xr:uid="{42764034-2FCF-4A35-BE22-EEBFE8D80E9F}"/>
    <cellStyle name="Porcentagem" xfId="1" builtinId="5"/>
    <cellStyle name="Vírgula"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COGEP\GERIS\13%20-%20Coopera&#231;&#245;es%20T&#233;cnicas\BID\Projeto%20-%20FISLAC\Relat&#243;rio%20de%20Proje&#231;&#245;es%20Fiscais%20n6%20Julho%202025%20-%20Anexo%20Estat&#237;stico.xlsx" TargetMode="External"/><Relationship Id="rId1" Type="http://schemas.openxmlformats.org/officeDocument/2006/relationships/externalLinkPath" Target="file:///L:\COGEP\GERIS\13%20-%20Coopera&#231;&#245;es%20T&#233;cnicas\BID\Projeto%20-%20FISLAC\Relat&#243;rio%20de%20Proje&#231;&#245;es%20Fiscais%20n6%20Julho%202025%20-%20Anexo%20Estat&#237;sti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Índice"/>
      <sheetName val="Tabela 1"/>
      <sheetName val="Tabela 2"/>
      <sheetName val="Tabela 3"/>
    </sheetNames>
    <sheetDataSet>
      <sheetData sheetId="0" refreshError="1"/>
      <sheetData sheetId="1">
        <row r="5">
          <cell r="B5">
            <v>2679.44160626551</v>
          </cell>
          <cell r="C5">
            <v>2929.9544538244677</v>
          </cell>
          <cell r="D5">
            <v>3198.2821628329307</v>
          </cell>
          <cell r="E5">
            <v>3419.5939065410848</v>
          </cell>
          <cell r="F5">
            <v>3680.5093914196373</v>
          </cell>
          <cell r="G5">
            <v>3952.2369014247174</v>
          </cell>
          <cell r="H5">
            <v>4219.7072905958012</v>
          </cell>
          <cell r="I5">
            <v>4510.9380351098944</v>
          </cell>
          <cell r="J5">
            <v>4807.3270398007326</v>
          </cell>
          <cell r="K5">
            <v>5010.8858051279931</v>
          </cell>
          <cell r="L5">
            <v>5245.5200257814677</v>
          </cell>
          <cell r="M5">
            <v>5481.5865310095851</v>
          </cell>
        </row>
        <row r="6">
          <cell r="B6">
            <v>1690.0204045533901</v>
          </cell>
          <cell r="C6">
            <v>1878.2395382261416</v>
          </cell>
          <cell r="D6">
            <v>2045.2829933675891</v>
          </cell>
          <cell r="E6">
            <v>2163.1184539097576</v>
          </cell>
          <cell r="F6">
            <v>2273.0438192773431</v>
          </cell>
          <cell r="G6">
            <v>2418.2671496145363</v>
          </cell>
          <cell r="H6">
            <v>2590.0319855940429</v>
          </cell>
          <cell r="I6">
            <v>2790.5205439770361</v>
          </cell>
          <cell r="J6">
            <v>2963.9642960635656</v>
          </cell>
          <cell r="K6">
            <v>3155.9362890458947</v>
          </cell>
          <cell r="L6">
            <v>3357.5253979904251</v>
          </cell>
          <cell r="M6">
            <v>3560.2145815481304</v>
          </cell>
        </row>
        <row r="7">
          <cell r="B7">
            <v>77.749320546839996</v>
          </cell>
          <cell r="C7">
            <v>92.451033377000016</v>
          </cell>
          <cell r="D7">
            <v>99.184466200706922</v>
          </cell>
          <cell r="E7">
            <v>107.22377084994235</v>
          </cell>
          <cell r="F7">
            <v>116.58394987752871</v>
          </cell>
          <cell r="G7">
            <v>126.88371369676696</v>
          </cell>
          <cell r="H7">
            <v>139.11577490233287</v>
          </cell>
          <cell r="I7">
            <v>153.62057973043261</v>
          </cell>
          <cell r="J7">
            <v>170.3637920898104</v>
          </cell>
          <cell r="K7">
            <v>189.33948113848558</v>
          </cell>
          <cell r="L7">
            <v>210.93128554710862</v>
          </cell>
          <cell r="M7">
            <v>235.10150096968709</v>
          </cell>
        </row>
        <row r="8">
          <cell r="B8">
            <v>84.37324293271999</v>
          </cell>
          <cell r="C8">
            <v>89.400886109598062</v>
          </cell>
          <cell r="D8">
            <v>92.844612253055985</v>
          </cell>
          <cell r="E8">
            <v>100.32259363025054</v>
          </cell>
          <cell r="F8">
            <v>107.06289168156141</v>
          </cell>
          <cell r="G8">
            <v>113.92718161808031</v>
          </cell>
          <cell r="H8">
            <v>121.05728469381411</v>
          </cell>
          <cell r="I8">
            <v>128.6935753724598</v>
          </cell>
          <cell r="J8">
            <v>136.95789931122732</v>
          </cell>
          <cell r="K8">
            <v>145.90014680789446</v>
          </cell>
          <cell r="L8">
            <v>155.60217580305476</v>
          </cell>
          <cell r="M8">
            <v>166.01869650626125</v>
          </cell>
        </row>
        <row r="9">
          <cell r="B9">
            <v>8.1605302689299997</v>
          </cell>
          <cell r="C9">
            <v>11.689207193749548</v>
          </cell>
          <cell r="D9">
            <v>10.365819720441744</v>
          </cell>
          <cell r="E9">
            <v>10.282005764354015</v>
          </cell>
          <cell r="F9">
            <v>10.208855274744481</v>
          </cell>
          <cell r="G9">
            <v>10.152219743734911</v>
          </cell>
          <cell r="H9">
            <v>10.637952846263866</v>
          </cell>
          <cell r="I9">
            <v>11.146919313019801</v>
          </cell>
          <cell r="J9">
            <v>11.680229414743692</v>
          </cell>
          <cell r="K9">
            <v>12.239051058575813</v>
          </cell>
          <cell r="L9">
            <v>12.824600558959427</v>
          </cell>
          <cell r="M9">
            <v>13.438144932253705</v>
          </cell>
        </row>
        <row r="10">
          <cell r="B10">
            <v>3.3410842196699999</v>
          </cell>
          <cell r="C10">
            <v>3.509534455813474</v>
          </cell>
          <cell r="D10">
            <v>3.5482385768997662</v>
          </cell>
          <cell r="E10">
            <v>3.6988712331961788</v>
          </cell>
          <cell r="F10">
            <v>3.8338921409004767</v>
          </cell>
          <cell r="G10">
            <v>3.9837320608025104</v>
          </cell>
          <cell r="H10">
            <v>4.1065399330197856</v>
          </cell>
          <cell r="I10">
            <v>4.2354527967130133</v>
          </cell>
          <cell r="J10">
            <v>4.3683778784362532</v>
          </cell>
          <cell r="K10">
            <v>4.5062751758596917</v>
          </cell>
          <cell r="L10">
            <v>4.6492287409083177</v>
          </cell>
          <cell r="M10">
            <v>4.7970946146477029</v>
          </cell>
        </row>
        <row r="11">
          <cell r="B11">
            <v>8.6231572163299983</v>
          </cell>
          <cell r="C11">
            <v>9.5605253715757179</v>
          </cell>
          <cell r="D11">
            <v>10.184520765370365</v>
          </cell>
          <cell r="E11">
            <v>10.466866687839767</v>
          </cell>
          <cell r="F11">
            <v>10.944009064449874</v>
          </cell>
          <cell r="G11">
            <v>11.299676291145003</v>
          </cell>
          <cell r="H11">
            <v>11.958708066293404</v>
          </cell>
          <cell r="I11">
            <v>12.645153091718887</v>
          </cell>
          <cell r="J11">
            <v>13.377222649701194</v>
          </cell>
          <cell r="K11">
            <v>14.156163488409661</v>
          </cell>
          <cell r="L11">
            <v>14.98448550851124</v>
          </cell>
          <cell r="M11">
            <v>15.861267584656202</v>
          </cell>
        </row>
        <row r="12">
          <cell r="B12">
            <v>29.621167074399995</v>
          </cell>
          <cell r="C12">
            <v>31.936627499997194</v>
          </cell>
          <cell r="D12">
            <v>34.830573944381626</v>
          </cell>
          <cell r="E12">
            <v>37.665078435018373</v>
          </cell>
          <cell r="F12">
            <v>40.872948418359677</v>
          </cell>
          <cell r="G12">
            <v>44.206177806646075</v>
          </cell>
          <cell r="H12">
            <v>47.580499128537909</v>
          </cell>
          <cell r="I12">
            <v>51.265140584231268</v>
          </cell>
          <cell r="J12">
            <v>55.356532609886884</v>
          </cell>
          <cell r="K12">
            <v>59.891763227753515</v>
          </cell>
          <cell r="L12">
            <v>64.939295520164876</v>
          </cell>
          <cell r="M12">
            <v>70.44739237459433</v>
          </cell>
        </row>
        <row r="13">
          <cell r="B13">
            <v>34.62730415339</v>
          </cell>
          <cell r="C13">
            <v>32.70499158846215</v>
          </cell>
          <cell r="D13">
            <v>33.915459245962481</v>
          </cell>
          <cell r="E13">
            <v>38.209771509842234</v>
          </cell>
          <cell r="F13">
            <v>41.203186783106894</v>
          </cell>
          <cell r="G13">
            <v>44.285375715751826</v>
          </cell>
          <cell r="H13">
            <v>46.773584719699159</v>
          </cell>
          <cell r="I13">
            <v>49.400909586776834</v>
          </cell>
          <cell r="J13">
            <v>52.175536758459302</v>
          </cell>
          <cell r="K13">
            <v>55.106893857295795</v>
          </cell>
          <cell r="L13">
            <v>58.204565474510908</v>
          </cell>
          <cell r="M13">
            <v>61.474797000109291</v>
          </cell>
        </row>
        <row r="14">
          <cell r="B14">
            <v>785.16224620657999</v>
          </cell>
          <cell r="C14">
            <v>870.19514843754382</v>
          </cell>
          <cell r="D14">
            <v>955.00880676004931</v>
          </cell>
          <cell r="E14">
            <v>1001.2050031006642</v>
          </cell>
          <cell r="F14">
            <v>1044.3615745259767</v>
          </cell>
          <cell r="G14">
            <v>1106.6810789950159</v>
          </cell>
          <cell r="H14">
            <v>1193.5084761558996</v>
          </cell>
          <cell r="I14">
            <v>1302.8819764197101</v>
          </cell>
          <cell r="J14">
            <v>1392.7147629901988</v>
          </cell>
          <cell r="K14">
            <v>1490.664561168451</v>
          </cell>
          <cell r="L14">
            <v>1588.873858429547</v>
          </cell>
          <cell r="M14">
            <v>1693.1610697933688</v>
          </cell>
        </row>
        <row r="15">
          <cell r="B15">
            <v>71.023575528729992</v>
          </cell>
          <cell r="C15">
            <v>75.183708049994635</v>
          </cell>
          <cell r="D15">
            <v>79.654288520757376</v>
          </cell>
          <cell r="E15">
            <v>85.601433094315553</v>
          </cell>
          <cell r="F15">
            <v>86.414799868887499</v>
          </cell>
          <cell r="G15">
            <v>89.004091626992249</v>
          </cell>
          <cell r="H15">
            <v>96.474726852370509</v>
          </cell>
          <cell r="I15">
            <v>131.75246142089833</v>
          </cell>
          <cell r="J15">
            <v>139.91369880059517</v>
          </cell>
          <cell r="K15">
            <v>149.91342768491904</v>
          </cell>
          <cell r="L15">
            <v>160.31470933808691</v>
          </cell>
          <cell r="M15">
            <v>170.40613736952025</v>
          </cell>
        </row>
        <row r="16">
          <cell r="B16">
            <v>280.43758793703006</v>
          </cell>
          <cell r="C16">
            <v>316.56952745280398</v>
          </cell>
          <cell r="D16">
            <v>335.57431058866513</v>
          </cell>
          <cell r="E16">
            <v>357.42302876908786</v>
          </cell>
          <cell r="F16">
            <v>378.64571596336191</v>
          </cell>
          <cell r="G16">
            <v>406.23625077478323</v>
          </cell>
          <cell r="H16">
            <v>443.62718014336781</v>
          </cell>
          <cell r="I16">
            <v>471.38004480874702</v>
          </cell>
          <cell r="J16">
            <v>500.7587863773096</v>
          </cell>
          <cell r="K16">
            <v>532.1339059395425</v>
          </cell>
          <cell r="L16">
            <v>558.5790751387151</v>
          </cell>
          <cell r="M16">
            <v>586.52013214689691</v>
          </cell>
        </row>
        <row r="17">
          <cell r="B17">
            <v>433.70108274082003</v>
          </cell>
          <cell r="C17">
            <v>478.44191293474506</v>
          </cell>
          <cell r="D17">
            <v>539.78020765062672</v>
          </cell>
          <cell r="E17">
            <v>558.18054123726063</v>
          </cell>
          <cell r="F17">
            <v>579.30105869372721</v>
          </cell>
          <cell r="G17">
            <v>611.44073659324044</v>
          </cell>
          <cell r="H17">
            <v>653.40656916016133</v>
          </cell>
          <cell r="I17">
            <v>699.7494701900647</v>
          </cell>
          <cell r="J17">
            <v>752.04227781229395</v>
          </cell>
          <cell r="K17">
            <v>808.61722754398943</v>
          </cell>
          <cell r="L17">
            <v>869.98007395274487</v>
          </cell>
          <cell r="M17">
            <v>936.23480027695166</v>
          </cell>
        </row>
        <row r="18">
          <cell r="B18">
            <v>184.36841370323003</v>
          </cell>
          <cell r="C18">
            <v>203.72685096990128</v>
          </cell>
          <cell r="D18">
            <v>223.51904512701083</v>
          </cell>
          <cell r="E18">
            <v>240.51811964018566</v>
          </cell>
          <cell r="F18">
            <v>257.84343903989441</v>
          </cell>
          <cell r="G18">
            <v>275.87037589357726</v>
          </cell>
          <cell r="H18">
            <v>294.92532073372871</v>
          </cell>
          <cell r="I18">
            <v>314.98493027413872</v>
          </cell>
          <cell r="J18">
            <v>336.88893951798849</v>
          </cell>
          <cell r="K18">
            <v>360.61298860935949</v>
          </cell>
          <cell r="L18">
            <v>386.38162138538797</v>
          </cell>
          <cell r="M18">
            <v>414.15798447673575</v>
          </cell>
        </row>
        <row r="19">
          <cell r="B19">
            <v>147.04158239194001</v>
          </cell>
          <cell r="C19">
            <v>163.89199372505769</v>
          </cell>
          <cell r="D19">
            <v>185.9031989517114</v>
          </cell>
          <cell r="E19">
            <v>173.38952017156768</v>
          </cell>
          <cell r="F19">
            <v>163.27644352903911</v>
          </cell>
          <cell r="G19">
            <v>162.5041017042434</v>
          </cell>
          <cell r="H19">
            <v>171.77262182539792</v>
          </cell>
          <cell r="I19">
            <v>183.0779727091315</v>
          </cell>
          <cell r="J19">
            <v>197.25916603541586</v>
          </cell>
          <cell r="K19">
            <v>212.5456551731067</v>
          </cell>
          <cell r="L19">
            <v>229.02911486755292</v>
          </cell>
          <cell r="M19">
            <v>246.78545360419554</v>
          </cell>
        </row>
        <row r="20">
          <cell r="B20">
            <v>79.910088198929998</v>
          </cell>
          <cell r="C20">
            <v>85.507121370237215</v>
          </cell>
          <cell r="D20">
            <v>104.02787614604715</v>
          </cell>
          <cell r="E20">
            <v>115.62996239824045</v>
          </cell>
          <cell r="F20">
            <v>127.06000179058566</v>
          </cell>
          <cell r="G20">
            <v>139.57370107773056</v>
          </cell>
          <cell r="H20">
            <v>150.82672955772577</v>
          </cell>
          <cell r="I20">
            <v>163.26786952118243</v>
          </cell>
          <cell r="J20">
            <v>176.77779260617714</v>
          </cell>
          <cell r="K20">
            <v>191.43809586391248</v>
          </cell>
          <cell r="L20">
            <v>207.41763860743069</v>
          </cell>
          <cell r="M20">
            <v>224.77088104346336</v>
          </cell>
        </row>
        <row r="21">
          <cell r="B21">
            <v>22.38099844672</v>
          </cell>
          <cell r="C21">
            <v>25.315946869548849</v>
          </cell>
          <cell r="D21">
            <v>26.330087425857403</v>
          </cell>
          <cell r="E21">
            <v>28.642939027266831</v>
          </cell>
          <cell r="F21">
            <v>31.12117433420805</v>
          </cell>
          <cell r="G21">
            <v>33.492557917689219</v>
          </cell>
          <cell r="H21">
            <v>35.88189704330896</v>
          </cell>
          <cell r="I21">
            <v>38.418697685612116</v>
          </cell>
          <cell r="J21">
            <v>41.116379652712425</v>
          </cell>
          <cell r="K21">
            <v>44.020487897610749</v>
          </cell>
          <cell r="L21">
            <v>47.151699092373228</v>
          </cell>
          <cell r="M21">
            <v>50.520481152556854</v>
          </cell>
        </row>
        <row r="22">
          <cell r="B22">
            <v>67.74846906898</v>
          </cell>
          <cell r="C22">
            <v>84.872510337000008</v>
          </cell>
          <cell r="D22">
            <v>107.55644964142451</v>
          </cell>
          <cell r="E22">
            <v>118.35994494207603</v>
          </cell>
          <cell r="F22">
            <v>116.71674282019818</v>
          </cell>
          <cell r="G22">
            <v>122.61278080436639</v>
          </cell>
          <cell r="H22">
            <v>129.58631458329768</v>
          </cell>
          <cell r="I22">
            <v>137.16144257179525</v>
          </cell>
          <cell r="J22">
            <v>144.99180794375488</v>
          </cell>
          <cell r="K22">
            <v>153.38706011616259</v>
          </cell>
          <cell r="L22">
            <v>162.21966484145995</v>
          </cell>
          <cell r="M22">
            <v>171.58165377107366</v>
          </cell>
        </row>
        <row r="23">
          <cell r="B23">
            <v>367.24183518655002</v>
          </cell>
          <cell r="C23">
            <v>385.09936544899989</v>
          </cell>
          <cell r="D23">
            <v>411.22209045742807</v>
          </cell>
          <cell r="E23">
            <v>441.93476187701998</v>
          </cell>
          <cell r="F23">
            <v>469.20959348010962</v>
          </cell>
          <cell r="G23">
            <v>503.15309541764407</v>
          </cell>
          <cell r="H23">
            <v>531.39774019732931</v>
          </cell>
          <cell r="I23">
            <v>559.58274514075606</v>
          </cell>
          <cell r="J23">
            <v>587.49102416490132</v>
          </cell>
          <cell r="K23">
            <v>615.41999314692248</v>
          </cell>
          <cell r="L23">
            <v>643.57531838755619</v>
          </cell>
          <cell r="M23">
            <v>672.03854278651545</v>
          </cell>
        </row>
        <row r="24">
          <cell r="B24">
            <v>103.82386259623</v>
          </cell>
          <cell r="C24">
            <v>107.435763373</v>
          </cell>
          <cell r="D24">
            <v>117.7902142541034</v>
          </cell>
          <cell r="E24">
            <v>127.75769405524908</v>
          </cell>
          <cell r="F24">
            <v>137.36741014708147</v>
          </cell>
          <cell r="G24">
            <v>147.22221733312887</v>
          </cell>
          <cell r="H24">
            <v>155.46873841781417</v>
          </cell>
          <cell r="I24">
            <v>163.72416114380485</v>
          </cell>
          <cell r="J24">
            <v>171.93112962585951</v>
          </cell>
          <cell r="K24">
            <v>180.17509882342151</v>
          </cell>
          <cell r="L24">
            <v>188.51693780966085</v>
          </cell>
          <cell r="M24">
            <v>197.01289248985344</v>
          </cell>
        </row>
        <row r="25">
          <cell r="B25">
            <v>166.76025458755001</v>
          </cell>
          <cell r="C25">
            <v>186.08781006800001</v>
          </cell>
          <cell r="D25">
            <v>199.96429624336545</v>
          </cell>
          <cell r="E25">
            <v>213.19171905297037</v>
          </cell>
          <cell r="F25">
            <v>225.84600666178676</v>
          </cell>
          <cell r="G25">
            <v>238.88004599588996</v>
          </cell>
          <cell r="H25">
            <v>255.59644101426088</v>
          </cell>
          <cell r="I25">
            <v>269.3661005023971</v>
          </cell>
          <cell r="J25">
            <v>283.79312870036432</v>
          </cell>
          <cell r="K25">
            <v>299.05816649393415</v>
          </cell>
          <cell r="L25">
            <v>315.23055502452098</v>
          </cell>
          <cell r="M25">
            <v>332.31748512417903</v>
          </cell>
        </row>
        <row r="26">
          <cell r="B26">
            <v>0</v>
          </cell>
          <cell r="C26">
            <v>0</v>
          </cell>
          <cell r="D26">
            <v>0</v>
          </cell>
          <cell r="E26">
            <v>0</v>
          </cell>
          <cell r="F26">
            <v>0</v>
          </cell>
          <cell r="G26">
            <v>0</v>
          </cell>
          <cell r="H26">
            <v>0</v>
          </cell>
          <cell r="I26">
            <v>0</v>
          </cell>
          <cell r="J26">
            <v>0</v>
          </cell>
          <cell r="K26">
            <v>0</v>
          </cell>
          <cell r="L26">
            <v>0</v>
          </cell>
          <cell r="M26">
            <v>0</v>
          </cell>
        </row>
        <row r="27">
          <cell r="B27">
            <v>3.41544885884</v>
          </cell>
          <cell r="C27">
            <v>3.8041314570000004</v>
          </cell>
          <cell r="D27">
            <v>3.56106252596157</v>
          </cell>
          <cell r="E27">
            <v>3.7971035809578293</v>
          </cell>
          <cell r="F27">
            <v>4.0355929667882613</v>
          </cell>
          <cell r="G27">
            <v>4.2791348857756546</v>
          </cell>
          <cell r="H27">
            <v>4.4434942013029417</v>
          </cell>
          <cell r="I27">
            <v>4.6142516721723181</v>
          </cell>
          <cell r="J27">
            <v>4.7916054533620063</v>
          </cell>
          <cell r="K27">
            <v>4.975811427039595</v>
          </cell>
          <cell r="L27">
            <v>5.1671354346846456</v>
          </cell>
          <cell r="M27">
            <v>5.3658536657515237</v>
          </cell>
        </row>
        <row r="28">
          <cell r="B28">
            <v>33.745724569099998</v>
          </cell>
          <cell r="C28">
            <v>58.892889617999998</v>
          </cell>
          <cell r="D28">
            <v>58.150995031493736</v>
          </cell>
          <cell r="E28">
            <v>49.325862820627414</v>
          </cell>
          <cell r="F28">
            <v>51.860057116312284</v>
          </cell>
          <cell r="G28">
            <v>54.627900867868291</v>
          </cell>
          <cell r="H28">
            <v>59.857721427991152</v>
          </cell>
          <cell r="I28">
            <v>70.87571142350798</v>
          </cell>
          <cell r="J28">
            <v>70.929145784086899</v>
          </cell>
          <cell r="K28">
            <v>77.015969923583327</v>
          </cell>
          <cell r="L28">
            <v>87.408466712832379</v>
          </cell>
          <cell r="M28">
            <v>87.616886441440087</v>
          </cell>
        </row>
        <row r="29">
          <cell r="B29">
            <v>0</v>
          </cell>
          <cell r="C29">
            <v>-1.2669472109999998E-2</v>
          </cell>
          <cell r="D29">
            <v>-1.022951098E-2</v>
          </cell>
          <cell r="E29">
            <v>-1.022951098E-2</v>
          </cell>
          <cell r="F29">
            <v>-1.022951098E-2</v>
          </cell>
          <cell r="G29">
            <v>-1.022951098E-2</v>
          </cell>
          <cell r="H29">
            <v>-1.0815539983591185E-2</v>
          </cell>
          <cell r="I29">
            <v>-2.2268506633608236E-2</v>
          </cell>
          <cell r="J29">
            <v>-1.1462389493314885E-2</v>
          </cell>
          <cell r="K29">
            <v>-1.2129656592027891E-2</v>
          </cell>
          <cell r="L29">
            <v>-2.502918092648982E-2</v>
          </cell>
          <cell r="M29">
            <v>-1.2901411313711324E-2</v>
          </cell>
        </row>
        <row r="30">
          <cell r="B30">
            <v>641.15547902840001</v>
          </cell>
          <cell r="C30">
            <v>709.16486545500004</v>
          </cell>
          <cell r="D30">
            <v>774.55273107140636</v>
          </cell>
          <cell r="E30">
            <v>834.96476905371128</v>
          </cell>
          <cell r="F30">
            <v>897.90729026682004</v>
          </cell>
          <cell r="G30">
            <v>956.20821612894702</v>
          </cell>
          <cell r="H30">
            <v>1018.8112190403831</v>
          </cell>
          <cell r="I30">
            <v>1086.7449520761477</v>
          </cell>
          <cell r="J30">
            <v>1157.831930147275</v>
          </cell>
          <cell r="K30">
            <v>1233.4715144436234</v>
          </cell>
          <cell r="L30">
            <v>1313.2437738173007</v>
          </cell>
          <cell r="M30">
            <v>1399.45072376231</v>
          </cell>
        </row>
        <row r="31">
          <cell r="B31">
            <v>348.26572268372001</v>
          </cell>
          <cell r="C31">
            <v>315.04170488951763</v>
          </cell>
          <cell r="D31">
            <v>305.78663888532998</v>
          </cell>
          <cell r="E31">
            <v>333.6091937033911</v>
          </cell>
          <cell r="F31">
            <v>349.98863065432954</v>
          </cell>
          <cell r="G31">
            <v>370.22214210627317</v>
          </cell>
          <cell r="H31">
            <v>394.79967498672266</v>
          </cell>
          <cell r="I31">
            <v>385.4813675057909</v>
          </cell>
          <cell r="J31">
            <v>393.29403357985831</v>
          </cell>
          <cell r="K31">
            <v>389.7099540311138</v>
          </cell>
          <cell r="L31">
            <v>383.02350220058031</v>
          </cell>
          <cell r="M31">
            <v>400.20319985223517</v>
          </cell>
        </row>
        <row r="32">
          <cell r="B32">
            <v>16.470007017390003</v>
          </cell>
          <cell r="C32">
            <v>6.6429144744025326</v>
          </cell>
          <cell r="D32">
            <v>6.8768255774017106</v>
          </cell>
          <cell r="E32">
            <v>7.8693654902550083</v>
          </cell>
          <cell r="F32">
            <v>8.2220584501387162</v>
          </cell>
          <cell r="G32">
            <v>8.4986070287685731</v>
          </cell>
          <cell r="H32">
            <v>8.7627135423224036</v>
          </cell>
          <cell r="I32">
            <v>9.0359436686658103</v>
          </cell>
          <cell r="J32">
            <v>9.3179188883612891</v>
          </cell>
          <cell r="K32">
            <v>9.6089305864419305</v>
          </cell>
          <cell r="L32">
            <v>9.909280426855517</v>
          </cell>
          <cell r="M32">
            <v>10.219280742235368</v>
          </cell>
        </row>
        <row r="33">
          <cell r="B33">
            <v>72.381421767109998</v>
          </cell>
          <cell r="C33">
            <v>43.402014245115076</v>
          </cell>
          <cell r="D33">
            <v>36.970648212091866</v>
          </cell>
          <cell r="E33">
            <v>36.513205759508651</v>
          </cell>
          <cell r="F33">
            <v>36.251012598937535</v>
          </cell>
          <cell r="G33">
            <v>39.008231478375976</v>
          </cell>
          <cell r="H33">
            <v>40.464453463547585</v>
          </cell>
          <cell r="I33">
            <v>32.428436767176962</v>
          </cell>
          <cell r="J33">
            <v>43.688284406067794</v>
          </cell>
          <cell r="K33">
            <v>45.402905838656125</v>
          </cell>
          <cell r="L33">
            <v>36.448265499665368</v>
          </cell>
          <cell r="M33">
            <v>49.14400252188419</v>
          </cell>
        </row>
        <row r="34">
          <cell r="B34">
            <v>18.60049087166</v>
          </cell>
          <cell r="C34">
            <v>18.387526311000002</v>
          </cell>
          <cell r="D34">
            <v>18.518437910780051</v>
          </cell>
          <cell r="E34">
            <v>19.359799913159467</v>
          </cell>
          <cell r="F34">
            <v>19.873016797945485</v>
          </cell>
          <cell r="G34">
            <v>20.357231240755333</v>
          </cell>
          <cell r="H34">
            <v>20.509365266795999</v>
          </cell>
          <cell r="I34">
            <v>20.650896420003885</v>
          </cell>
          <cell r="J34">
            <v>20.780984129279524</v>
          </cell>
          <cell r="K34">
            <v>20.898743782270493</v>
          </cell>
          <cell r="L34">
            <v>21.003244695150396</v>
          </cell>
          <cell r="M34">
            <v>21.093507993709633</v>
          </cell>
        </row>
        <row r="35">
          <cell r="B35">
            <v>118.76168212732</v>
          </cell>
          <cell r="C35">
            <v>122.294783986</v>
          </cell>
          <cell r="D35">
            <v>126.68684571652189</v>
          </cell>
          <cell r="E35">
            <v>147.54365355508071</v>
          </cell>
          <cell r="F35">
            <v>157.78826748187913</v>
          </cell>
          <cell r="G35">
            <v>170.3472923806444</v>
          </cell>
          <cell r="H35">
            <v>187.14587346943361</v>
          </cell>
          <cell r="I35">
            <v>181.07527206204151</v>
          </cell>
          <cell r="J35">
            <v>170.18357909402394</v>
          </cell>
          <cell r="K35">
            <v>157.52149354080947</v>
          </cell>
          <cell r="L35">
            <v>154.18763910642568</v>
          </cell>
          <cell r="M35">
            <v>150.08562064119283</v>
          </cell>
        </row>
        <row r="36">
          <cell r="B36">
            <v>23.500977830970001</v>
          </cell>
          <cell r="C36">
            <v>21.779174277999999</v>
          </cell>
          <cell r="D36">
            <v>19.982652174999995</v>
          </cell>
          <cell r="E36">
            <v>21.376549864000001</v>
          </cell>
          <cell r="F36">
            <v>22.740310404999999</v>
          </cell>
          <cell r="G36">
            <v>23.660504051999997</v>
          </cell>
          <cell r="H36">
            <v>23.892284606837077</v>
          </cell>
          <cell r="I36">
            <v>24.31043037007105</v>
          </cell>
          <cell r="J36">
            <v>25.099866914662254</v>
          </cell>
          <cell r="K36">
            <v>25.347253802957663</v>
          </cell>
          <cell r="L36">
            <v>25.790863401693567</v>
          </cell>
          <cell r="M36">
            <v>26.628374288005258</v>
          </cell>
        </row>
        <row r="37">
          <cell r="B37">
            <v>33.078177306969998</v>
          </cell>
          <cell r="C37">
            <v>36.812136439</v>
          </cell>
          <cell r="D37">
            <v>40.367856249534491</v>
          </cell>
          <cell r="E37">
            <v>43.624465426397471</v>
          </cell>
          <cell r="F37">
            <v>47.034011012048758</v>
          </cell>
          <cell r="G37">
            <v>50.588293769439261</v>
          </cell>
          <cell r="H37">
            <v>54.364470243027512</v>
          </cell>
          <cell r="I37">
            <v>58.540531745551945</v>
          </cell>
          <cell r="J37">
            <v>62.921494762680965</v>
          </cell>
          <cell r="K37">
            <v>67.610017474300619</v>
          </cell>
          <cell r="L37">
            <v>72.596887046262651</v>
          </cell>
          <cell r="M37">
            <v>77.968816874732141</v>
          </cell>
        </row>
        <row r="38">
          <cell r="B38">
            <v>9.4069197000000007E-2</v>
          </cell>
          <cell r="C38">
            <v>4.8756356999999993E-2</v>
          </cell>
          <cell r="D38">
            <v>6.0630128999999998E-2</v>
          </cell>
          <cell r="E38">
            <v>5.8723624999999995E-2</v>
          </cell>
          <cell r="F38">
            <v>5.6494302999999996E-2</v>
          </cell>
          <cell r="G38">
            <v>5.4001773999999995E-2</v>
          </cell>
          <cell r="H38">
            <v>5.7028845720241902E-2</v>
          </cell>
          <cell r="I38">
            <v>6.3636566074312589E-2</v>
          </cell>
          <cell r="J38">
            <v>5.728725466521014E-2</v>
          </cell>
          <cell r="K38">
            <v>6.0501733105382142E-2</v>
          </cell>
          <cell r="L38">
            <v>6.751184401062689E-2</v>
          </cell>
          <cell r="M38">
            <v>6.0775878387880213E-2</v>
          </cell>
        </row>
        <row r="39">
          <cell r="B39">
            <v>65.37889656530001</v>
          </cell>
          <cell r="C39">
            <v>65.674398799000002</v>
          </cell>
          <cell r="D39">
            <v>56.322742915000006</v>
          </cell>
          <cell r="E39">
            <v>57.263430069989816</v>
          </cell>
          <cell r="F39">
            <v>58.023459605379934</v>
          </cell>
          <cell r="G39">
            <v>57.707980382289605</v>
          </cell>
          <cell r="H39">
            <v>59.603485549038226</v>
          </cell>
          <cell r="I39">
            <v>59.376219906205499</v>
          </cell>
          <cell r="J39">
            <v>61.244618130117317</v>
          </cell>
          <cell r="K39">
            <v>63.260107272572149</v>
          </cell>
          <cell r="L39">
            <v>63.019810180516473</v>
          </cell>
          <cell r="M39">
            <v>65.002820912087856</v>
          </cell>
        </row>
        <row r="40">
          <cell r="B40">
            <v>0</v>
          </cell>
          <cell r="C40">
            <v>27.521014725918199</v>
          </cell>
          <cell r="D40">
            <v>72.670029019585542</v>
          </cell>
          <cell r="E40">
            <v>87.911719385204336</v>
          </cell>
          <cell r="F40">
            <v>159.57988073212411</v>
          </cell>
          <cell r="G40">
            <v>207.54962308594071</v>
          </cell>
          <cell r="H40">
            <v>216.07522651463583</v>
          </cell>
          <cell r="I40">
            <v>248.21344005755336</v>
          </cell>
          <cell r="J40">
            <v>292.24824239952665</v>
          </cell>
          <cell r="K40">
            <v>231.78017726395368</v>
          </cell>
          <cell r="L40">
            <v>191.75238095408801</v>
          </cell>
          <cell r="M40">
            <v>121.73092725822306</v>
          </cell>
        </row>
        <row r="41">
          <cell r="B41">
            <v>517.6540042351395</v>
          </cell>
          <cell r="C41">
            <v>580.59897153020654</v>
          </cell>
          <cell r="D41">
            <v>623.3112067232878</v>
          </cell>
          <cell r="E41">
            <v>649.66635828520498</v>
          </cell>
          <cell r="F41">
            <v>675.21163251030828</v>
          </cell>
          <cell r="G41">
            <v>712.63693531111414</v>
          </cell>
          <cell r="H41">
            <v>757.97887487995342</v>
          </cell>
          <cell r="I41">
            <v>816.33839353818439</v>
          </cell>
          <cell r="J41">
            <v>863.79299872126967</v>
          </cell>
          <cell r="K41">
            <v>915.58540628801086</v>
          </cell>
          <cell r="L41">
            <v>970.83239517614072</v>
          </cell>
          <cell r="M41">
            <v>1028.7634345459649</v>
          </cell>
        </row>
        <row r="42">
          <cell r="B42">
            <v>411.97991660037997</v>
          </cell>
          <cell r="C42">
            <v>460.89036630947226</v>
          </cell>
          <cell r="D42">
            <v>502.48067425748195</v>
          </cell>
          <cell r="E42">
            <v>528.2203005572328</v>
          </cell>
          <cell r="F42">
            <v>552.110823651038</v>
          </cell>
          <cell r="G42">
            <v>585.07860064996328</v>
          </cell>
          <cell r="H42">
            <v>629.95163606874678</v>
          </cell>
          <cell r="I42">
            <v>685.70986687956588</v>
          </cell>
          <cell r="J42">
            <v>732.64194121279286</v>
          </cell>
          <cell r="K42">
            <v>783.77542742967171</v>
          </cell>
          <cell r="L42">
            <v>835.46395366962815</v>
          </cell>
          <cell r="M42">
            <v>890.41635981145214</v>
          </cell>
        </row>
        <row r="43">
          <cell r="B43">
            <v>12.94454589020949</v>
          </cell>
          <cell r="C43">
            <v>18.551079752450001</v>
          </cell>
          <cell r="D43">
            <v>15.770501695815726</v>
          </cell>
          <cell r="E43">
            <v>14.700777378617152</v>
          </cell>
          <cell r="F43">
            <v>14.082812647173338</v>
          </cell>
          <cell r="G43">
            <v>14.128720812006168</v>
          </cell>
          <cell r="H43">
            <v>15.127258371202444</v>
          </cell>
          <cell r="I43">
            <v>16.45129869278432</v>
          </cell>
          <cell r="J43">
            <v>17.896762207262302</v>
          </cell>
          <cell r="K43">
            <v>19.465780270340431</v>
          </cell>
          <cell r="L43">
            <v>21.17181615784483</v>
          </cell>
          <cell r="M43">
            <v>22.954193086505544</v>
          </cell>
        </row>
        <row r="44">
          <cell r="B44">
            <v>25.841654336769999</v>
          </cell>
          <cell r="C44">
            <v>28.787500952280002</v>
          </cell>
          <cell r="D44">
            <v>31.435317507292471</v>
          </cell>
          <cell r="E44">
            <v>33.045637859860321</v>
          </cell>
          <cell r="F44">
            <v>34.54263896519258</v>
          </cell>
          <cell r="G44">
            <v>36.618247818392881</v>
          </cell>
          <cell r="H44">
            <v>39.436972825491409</v>
          </cell>
          <cell r="I44">
            <v>42.947266553765097</v>
          </cell>
          <cell r="J44">
            <v>45.890179869042782</v>
          </cell>
          <cell r="K44">
            <v>49.096941239290352</v>
          </cell>
          <cell r="L44">
            <v>52.33428102697804</v>
          </cell>
          <cell r="M44">
            <v>55.775392988988898</v>
          </cell>
        </row>
        <row r="45">
          <cell r="B45">
            <v>-12.897108446560509</v>
          </cell>
          <cell r="C45">
            <v>-10.236421199830001</v>
          </cell>
          <cell r="D45">
            <v>-15.664815811476748</v>
          </cell>
          <cell r="E45">
            <v>-18.344860481243163</v>
          </cell>
          <cell r="F45">
            <v>-20.459826318019235</v>
          </cell>
          <cell r="G45">
            <v>-22.489527006386716</v>
          </cell>
          <cell r="H45">
            <v>-24.309714454288972</v>
          </cell>
          <cell r="I45">
            <v>-26.495967860980773</v>
          </cell>
          <cell r="J45">
            <v>-27.993417661780477</v>
          </cell>
          <cell r="K45">
            <v>-29.631160968949931</v>
          </cell>
          <cell r="L45">
            <v>-31.16246486913321</v>
          </cell>
          <cell r="M45">
            <v>-32.82119990248335</v>
          </cell>
        </row>
        <row r="46">
          <cell r="B46">
            <v>19.571996350920003</v>
          </cell>
          <cell r="C46">
            <v>22.769513740570002</v>
          </cell>
          <cell r="D46">
            <v>24.604800118395353</v>
          </cell>
          <cell r="E46">
            <v>26.263611222354506</v>
          </cell>
          <cell r="F46">
            <v>28.012654807498766</v>
          </cell>
          <cell r="G46">
            <v>29.847093323969158</v>
          </cell>
          <cell r="H46">
            <v>32.075037443386229</v>
          </cell>
          <cell r="I46">
            <v>34.538913729875645</v>
          </cell>
          <cell r="J46">
            <v>37.123681909981762</v>
          </cell>
          <cell r="K46">
            <v>39.889910309837362</v>
          </cell>
          <cell r="L46">
            <v>42.832163357294966</v>
          </cell>
          <cell r="M46">
            <v>46.00160195609196</v>
          </cell>
        </row>
        <row r="47">
          <cell r="B47">
            <v>68.827649660449993</v>
          </cell>
          <cell r="C47">
            <v>72.914906445332846</v>
          </cell>
          <cell r="D47">
            <v>74.953807736151447</v>
          </cell>
          <cell r="E47">
            <v>74.895298837129403</v>
          </cell>
          <cell r="F47">
            <v>75.348499717478319</v>
          </cell>
          <cell r="G47">
            <v>77.86111386256583</v>
          </cell>
          <cell r="H47">
            <v>79.672124174261043</v>
          </cell>
          <cell r="I47">
            <v>78.443308323485326</v>
          </cell>
          <cell r="J47">
            <v>74.891855648785153</v>
          </cell>
          <cell r="K47">
            <v>71.170155251461551</v>
          </cell>
          <cell r="L47">
            <v>70.033269286880341</v>
          </cell>
          <cell r="M47">
            <v>68.011279666997027</v>
          </cell>
        </row>
        <row r="48">
          <cell r="B48">
            <v>0.97920462685999998</v>
          </cell>
          <cell r="C48">
            <v>1.0268482763660802</v>
          </cell>
          <cell r="D48">
            <v>0.91385288571650891</v>
          </cell>
          <cell r="E48">
            <v>0.89811682223197942</v>
          </cell>
          <cell r="F48">
            <v>0.88287776990678701</v>
          </cell>
          <cell r="G48">
            <v>0.86866438181245775</v>
          </cell>
          <cell r="H48">
            <v>0.90202932286449711</v>
          </cell>
          <cell r="I48">
            <v>0.93669308945098029</v>
          </cell>
          <cell r="J48">
            <v>0.97269590703248709</v>
          </cell>
          <cell r="K48">
            <v>1.0100897196890377</v>
          </cell>
          <cell r="L48">
            <v>1.0489284932409833</v>
          </cell>
          <cell r="M48">
            <v>1.0892682941475593</v>
          </cell>
        </row>
        <row r="49">
          <cell r="B49">
            <v>3.3506911063200002</v>
          </cell>
          <cell r="C49">
            <v>4.4462570060153146</v>
          </cell>
          <cell r="D49">
            <v>4.5875700297268445</v>
          </cell>
          <cell r="E49">
            <v>4.6882534676390826</v>
          </cell>
          <cell r="F49">
            <v>4.7739639172132122</v>
          </cell>
          <cell r="G49">
            <v>4.8527422807974077</v>
          </cell>
          <cell r="H49">
            <v>0.2507894994924168</v>
          </cell>
          <cell r="I49">
            <v>0.25831282302228947</v>
          </cell>
          <cell r="J49">
            <v>0.26606183541493239</v>
          </cell>
          <cell r="K49">
            <v>0.27404330701095042</v>
          </cell>
          <cell r="L49">
            <v>0.28226421125140883</v>
          </cell>
          <cell r="M49">
            <v>0.29073173077055414</v>
          </cell>
        </row>
        <row r="50">
          <cell r="B50">
            <v>2161.7876020303706</v>
          </cell>
          <cell r="C50">
            <v>2349.3554822942615</v>
          </cell>
          <cell r="D50">
            <v>2574.9709561096429</v>
          </cell>
          <cell r="E50">
            <v>2769.9275482558796</v>
          </cell>
          <cell r="F50">
            <v>3005.2977589093289</v>
          </cell>
          <cell r="G50">
            <v>3239.5999661136034</v>
          </cell>
          <cell r="H50">
            <v>3461.7284157158474</v>
          </cell>
          <cell r="I50">
            <v>3694.5996415717104</v>
          </cell>
          <cell r="J50">
            <v>3943.5340410794624</v>
          </cell>
          <cell r="K50">
            <v>4095.3003988399823</v>
          </cell>
          <cell r="L50">
            <v>4274.6876306053273</v>
          </cell>
          <cell r="M50">
            <v>4452.8230964636205</v>
          </cell>
        </row>
        <row r="51">
          <cell r="B51">
            <v>2205.3048485706104</v>
          </cell>
          <cell r="C51">
            <v>2394.6785503478163</v>
          </cell>
          <cell r="D51">
            <v>2601.4422224874206</v>
          </cell>
          <cell r="E51">
            <v>2696.219249878176</v>
          </cell>
          <cell r="F51">
            <v>2847.175416829215</v>
          </cell>
          <cell r="G51">
            <v>3027.5500076736375</v>
          </cell>
          <cell r="H51">
            <v>3234.6320389521143</v>
          </cell>
          <cell r="I51">
            <v>3451.6433128947542</v>
          </cell>
          <cell r="J51">
            <v>3683.7449430025258</v>
          </cell>
          <cell r="K51">
            <v>3817.539806766727</v>
          </cell>
          <cell r="L51">
            <v>3977.6409849143874</v>
          </cell>
          <cell r="M51">
            <v>4135.3255463502901</v>
          </cell>
        </row>
        <row r="52">
          <cell r="B52">
            <v>938.30202958282007</v>
          </cell>
          <cell r="C52">
            <v>1032.0405138134499</v>
          </cell>
          <cell r="D52">
            <v>1116.763380004239</v>
          </cell>
          <cell r="E52">
            <v>1184.7996891744524</v>
          </cell>
          <cell r="F52">
            <v>1258.3579357400622</v>
          </cell>
          <cell r="G52">
            <v>1337.8897923680361</v>
          </cell>
          <cell r="H52">
            <v>1425.7618207649539</v>
          </cell>
          <cell r="I52">
            <v>1519.0331905392648</v>
          </cell>
          <cell r="J52">
            <v>1620.8220887936782</v>
          </cell>
          <cell r="K52">
            <v>1729.9002937969319</v>
          </cell>
          <cell r="L52">
            <v>1848.284823951408</v>
          </cell>
          <cell r="M52">
            <v>1974.4938275820653</v>
          </cell>
        </row>
        <row r="53">
          <cell r="B53">
            <v>366.28202764708004</v>
          </cell>
          <cell r="C53">
            <v>411.64962313880335</v>
          </cell>
          <cell r="D53">
            <v>437.14963906679998</v>
          </cell>
          <cell r="E53">
            <v>458.85937849628164</v>
          </cell>
          <cell r="F53">
            <v>475.52331545330247</v>
          </cell>
          <cell r="G53">
            <v>492.37073041388203</v>
          </cell>
          <cell r="H53">
            <v>510.0348458600788</v>
          </cell>
          <cell r="I53">
            <v>528.2037067499125</v>
          </cell>
          <cell r="J53">
            <v>546.9369423441392</v>
          </cell>
          <cell r="K53">
            <v>566.37973206110428</v>
          </cell>
          <cell r="L53">
            <v>585.71924171496175</v>
          </cell>
          <cell r="M53">
            <v>605.06141074741356</v>
          </cell>
        </row>
        <row r="54">
          <cell r="B54">
            <v>358.14326768113762</v>
          </cell>
          <cell r="C54">
            <v>397.84467438840693</v>
          </cell>
          <cell r="D54">
            <v>433.60228782308076</v>
          </cell>
          <cell r="E54">
            <v>454.20791479276011</v>
          </cell>
          <cell r="F54">
            <v>480.37450025401006</v>
          </cell>
          <cell r="G54">
            <v>529.00338261083448</v>
          </cell>
          <cell r="H54">
            <v>609.81122771380296</v>
          </cell>
          <cell r="I54">
            <v>679.37695334746672</v>
          </cell>
          <cell r="J54">
            <v>771.44158683441185</v>
          </cell>
          <cell r="K54">
            <v>744.15279724400682</v>
          </cell>
          <cell r="L54">
            <v>775.94753070508864</v>
          </cell>
          <cell r="M54">
            <v>818.32108941781723</v>
          </cell>
        </row>
        <row r="55">
          <cell r="B55">
            <v>111.08436591951001</v>
          </cell>
          <cell r="C55">
            <v>121.82404442693</v>
          </cell>
          <cell r="D55">
            <v>135.42363819593325</v>
          </cell>
          <cell r="E55">
            <v>148.07964232889066</v>
          </cell>
          <cell r="F55">
            <v>161.31037835704626</v>
          </cell>
          <cell r="G55">
            <v>175.52070297794447</v>
          </cell>
          <cell r="H55">
            <v>190.79591076389886</v>
          </cell>
          <cell r="I55">
            <v>207.41103014257737</v>
          </cell>
          <cell r="J55">
            <v>225.43507922181391</v>
          </cell>
          <cell r="K55">
            <v>245.0128256119838</v>
          </cell>
          <cell r="L55">
            <v>266.28181190901324</v>
          </cell>
          <cell r="M55">
            <v>289.38628161860669</v>
          </cell>
        </row>
        <row r="56">
          <cell r="B56">
            <v>80.71242804160002</v>
          </cell>
          <cell r="C56">
            <v>88.644449112999993</v>
          </cell>
          <cell r="D56">
            <v>97.77524715180347</v>
          </cell>
          <cell r="E56">
            <v>104.05245938056143</v>
          </cell>
          <cell r="F56">
            <v>110.55544579521988</v>
          </cell>
          <cell r="G56">
            <v>117.49574568110228</v>
          </cell>
          <cell r="H56">
            <v>123.46966672577015</v>
          </cell>
          <cell r="I56">
            <v>128.25169254168318</v>
          </cell>
          <cell r="J56">
            <v>135.11133688858499</v>
          </cell>
          <cell r="K56">
            <v>141.98838187901603</v>
          </cell>
          <cell r="L56">
            <v>149.2279290819657</v>
          </cell>
          <cell r="M56">
            <v>156.46267280365495</v>
          </cell>
        </row>
        <row r="57">
          <cell r="B57">
            <v>47.544195025960001</v>
          </cell>
          <cell r="C57">
            <v>59.118117902839991</v>
          </cell>
          <cell r="D57">
            <v>69.705489943010207</v>
          </cell>
          <cell r="E57">
            <v>74.33163177075356</v>
          </cell>
          <cell r="F57">
            <v>78.619963585444026</v>
          </cell>
          <cell r="G57">
            <v>83.446993684315629</v>
          </cell>
          <cell r="H57">
            <v>88.671904944425322</v>
          </cell>
          <cell r="I57">
            <v>94.470213678027008</v>
          </cell>
          <cell r="J57">
            <v>99.936405339140819</v>
          </cell>
          <cell r="K57">
            <v>105.70163018932951</v>
          </cell>
          <cell r="L57">
            <v>111.61918119331277</v>
          </cell>
          <cell r="M57">
            <v>117.82287448970712</v>
          </cell>
        </row>
        <row r="58">
          <cell r="B58">
            <v>34.696817196250002</v>
          </cell>
          <cell r="C58">
            <v>48.45352347506001</v>
          </cell>
          <cell r="D58">
            <v>47.6166467401113</v>
          </cell>
          <cell r="E58">
            <v>47.216356312509333</v>
          </cell>
          <cell r="F58">
            <v>46.640282039510041</v>
          </cell>
          <cell r="G58">
            <v>47.291038913793464</v>
          </cell>
          <cell r="H58">
            <v>51.58082079495918</v>
          </cell>
          <cell r="I58">
            <v>56.262854276023667</v>
          </cell>
          <cell r="J58">
            <v>61.373101142129507</v>
          </cell>
          <cell r="K58">
            <v>66.950823026047658</v>
          </cell>
          <cell r="L58">
            <v>73.023948805115751</v>
          </cell>
          <cell r="M58">
            <v>79.6479693314229</v>
          </cell>
        </row>
        <row r="59">
          <cell r="B59">
            <v>17.849118893700002</v>
          </cell>
          <cell r="C59">
            <v>31.8843314149</v>
          </cell>
          <cell r="D59">
            <v>31.371858806013766</v>
          </cell>
          <cell r="E59">
            <v>31.413796891626315</v>
          </cell>
          <cell r="F59">
            <v>30.00641143971869</v>
          </cell>
          <cell r="G59">
            <v>30.920709368947286</v>
          </cell>
          <cell r="H59">
            <v>31.938398976119014</v>
          </cell>
          <cell r="I59">
            <v>32.853487566623514</v>
          </cell>
          <cell r="J59">
            <v>33.725752751316811</v>
          </cell>
          <cell r="K59">
            <v>34.489157248523924</v>
          </cell>
          <cell r="L59">
            <v>35.166246917757768</v>
          </cell>
          <cell r="M59">
            <v>34.920045117378443</v>
          </cell>
        </row>
        <row r="60">
          <cell r="B60">
            <v>66.256342604117606</v>
          </cell>
          <cell r="C60">
            <v>47.920208055676937</v>
          </cell>
          <cell r="D60">
            <v>51.709406986208705</v>
          </cell>
          <cell r="E60">
            <v>49.114028108418836</v>
          </cell>
          <cell r="F60">
            <v>53.242019037071088</v>
          </cell>
          <cell r="G60">
            <v>47.266138962495859</v>
          </cell>
          <cell r="H60">
            <v>60.514255655453439</v>
          </cell>
          <cell r="I60">
            <v>57.454893826954276</v>
          </cell>
          <cell r="J60">
            <v>68.958865135259316</v>
          </cell>
          <cell r="K60">
            <v>65.935969747940703</v>
          </cell>
          <cell r="L60">
            <v>79.876861398329879</v>
          </cell>
          <cell r="M60">
            <v>74.527520894627514</v>
          </cell>
        </row>
        <row r="61">
          <cell r="B61">
            <v>357.18515367613583</v>
          </cell>
          <cell r="C61">
            <v>363.27750682400006</v>
          </cell>
          <cell r="D61">
            <v>387.30046219081856</v>
          </cell>
          <cell r="E61">
            <v>399.97484593852982</v>
          </cell>
          <cell r="F61">
            <v>421.48698239100025</v>
          </cell>
          <cell r="G61">
            <v>438.17573257831589</v>
          </cell>
          <cell r="H61">
            <v>459.58452712808463</v>
          </cell>
          <cell r="I61">
            <v>476.93128681747464</v>
          </cell>
          <cell r="J61">
            <v>500.60984184550443</v>
          </cell>
          <cell r="K61">
            <v>508.53427947900997</v>
          </cell>
          <cell r="L61">
            <v>524.38399059574863</v>
          </cell>
          <cell r="M61">
            <v>535.10907079754304</v>
          </cell>
        </row>
        <row r="62">
          <cell r="B62">
            <v>168.19933666741002</v>
          </cell>
          <cell r="C62">
            <v>159.51577759020168</v>
          </cell>
          <cell r="D62">
            <v>167.55119130022055</v>
          </cell>
          <cell r="E62">
            <v>167.58483236501851</v>
          </cell>
          <cell r="F62">
            <v>172.78433319477455</v>
          </cell>
          <cell r="G62">
            <v>172.81429943324409</v>
          </cell>
          <cell r="H62">
            <v>177.99847934450838</v>
          </cell>
          <cell r="I62">
            <v>178.0302704379306</v>
          </cell>
          <cell r="J62">
            <v>183.37092196172298</v>
          </cell>
          <cell r="K62">
            <v>183.40464903834655</v>
          </cell>
          <cell r="L62">
            <v>188.90652417423109</v>
          </cell>
          <cell r="M62">
            <v>188.94230512968505</v>
          </cell>
        </row>
        <row r="63">
          <cell r="B63">
            <v>185.39236998343694</v>
          </cell>
          <cell r="C63">
            <v>189.8662321831556</v>
          </cell>
          <cell r="D63">
            <v>226.62645340248255</v>
          </cell>
          <cell r="E63">
            <v>198.37742147615234</v>
          </cell>
          <cell r="F63">
            <v>211.43268299083965</v>
          </cell>
          <cell r="G63">
            <v>230.11036970256896</v>
          </cell>
          <cell r="H63">
            <v>229.43961748519402</v>
          </cell>
          <cell r="I63">
            <v>248.09817544063534</v>
          </cell>
          <cell r="J63">
            <v>243.93448318479147</v>
          </cell>
          <cell r="K63">
            <v>268.57270418567413</v>
          </cell>
          <cell r="L63">
            <v>243.30539794718067</v>
          </cell>
          <cell r="M63">
            <v>202.34014780545164</v>
          </cell>
        </row>
        <row r="64">
          <cell r="B64">
            <v>-45.364333180619958</v>
          </cell>
          <cell r="C64">
            <v>-45.323068053315858</v>
          </cell>
          <cell r="D64">
            <v>-26.471266377777791</v>
          </cell>
          <cell r="E64">
            <v>73.708298377703414</v>
          </cell>
          <cell r="F64">
            <v>158.12234208011395</v>
          </cell>
          <cell r="G64">
            <v>212.04995843996619</v>
          </cell>
          <cell r="H64">
            <v>227.09637676373356</v>
          </cell>
          <cell r="I64">
            <v>242.95632867695576</v>
          </cell>
          <cell r="J64">
            <v>259.7890980769368</v>
          </cell>
          <cell r="K64">
            <v>277.76059207325522</v>
          </cell>
          <cell r="L64">
            <v>297.04664569093939</v>
          </cell>
          <cell r="M64">
            <v>317.49755011333059</v>
          </cell>
        </row>
        <row r="65">
          <cell r="B65">
            <v>4.5457506939300059</v>
          </cell>
          <cell r="C65">
            <v>17.899999999999999</v>
          </cell>
          <cell r="D65">
            <v>1.1000000000000001</v>
          </cell>
          <cell r="E65">
            <v>1.2</v>
          </cell>
          <cell r="F65">
            <v>1.2</v>
          </cell>
          <cell r="G65">
            <v>1.3</v>
          </cell>
          <cell r="H65">
            <v>1.5</v>
          </cell>
          <cell r="I65">
            <v>1.6</v>
          </cell>
          <cell r="J65">
            <v>1.7</v>
          </cell>
          <cell r="K65">
            <v>1.8</v>
          </cell>
          <cell r="L65">
            <v>2</v>
          </cell>
          <cell r="M65">
            <v>2.1</v>
          </cell>
        </row>
        <row r="66">
          <cell r="B66">
            <v>-6.7342813542699993</v>
          </cell>
          <cell r="C66">
            <v>-5.7684135420799993</v>
          </cell>
          <cell r="D66">
            <v>-6.6851368005243472</v>
          </cell>
          <cell r="E66">
            <v>-7.0731136526086207</v>
          </cell>
          <cell r="F66">
            <v>-6.7208709026672526</v>
          </cell>
          <cell r="G66">
            <v>-6.4783143350969343</v>
          </cell>
          <cell r="H66">
            <v>-6.3248754865547676</v>
          </cell>
          <cell r="I66">
            <v>-6.4813725359032812</v>
          </cell>
          <cell r="J66">
            <v>-6.9670226192998026</v>
          </cell>
          <cell r="K66">
            <v>-7.4890625263327122</v>
          </cell>
          <cell r="L66">
            <v>-8.0502189511991809</v>
          </cell>
          <cell r="M66">
            <v>-8.6534228996458165</v>
          </cell>
        </row>
        <row r="67">
          <cell r="B67">
            <v>-47.552863840959979</v>
          </cell>
          <cell r="C67">
            <v>-33.191481595395864</v>
          </cell>
          <cell r="D67">
            <v>-32.056403178302141</v>
          </cell>
          <cell r="E67">
            <v>67.835184725094791</v>
          </cell>
          <cell r="F67">
            <v>152.60147117744668</v>
          </cell>
          <cell r="G67">
            <v>206.87164410486926</v>
          </cell>
          <cell r="H67">
            <v>222.2715012771788</v>
          </cell>
          <cell r="I67">
            <v>238.0749561410525</v>
          </cell>
          <cell r="J67">
            <v>254.52207545763699</v>
          </cell>
          <cell r="K67">
            <v>272.07152954692248</v>
          </cell>
          <cell r="L67">
            <v>290.99642673974017</v>
          </cell>
          <cell r="M67">
            <v>310.94412721368479</v>
          </cell>
        </row>
        <row r="68">
          <cell r="B68">
            <v>950.42284825184095</v>
          </cell>
          <cell r="C68">
            <v>1085.7843728186633</v>
          </cell>
          <cell r="D68">
            <v>1104.5051718048642</v>
          </cell>
          <cell r="E68">
            <v>1079.7581382774486</v>
          </cell>
          <cell r="F68">
            <v>1006.1763696904792</v>
          </cell>
          <cell r="G68">
            <v>1023.2946759214096</v>
          </cell>
          <cell r="H68">
            <v>1067.4011195641456</v>
          </cell>
          <cell r="I68">
            <v>1120.7296226840451</v>
          </cell>
          <cell r="J68">
            <v>1188.1571136432649</v>
          </cell>
          <cell r="K68">
            <v>1268.1942544333867</v>
          </cell>
          <cell r="L68">
            <v>1338.8477603790452</v>
          </cell>
          <cell r="M68">
            <v>1438.752677467588</v>
          </cell>
        </row>
        <row r="69">
          <cell r="B69">
            <v>880.16475618192067</v>
          </cell>
          <cell r="C69">
            <v>1115.3334377001891</v>
          </cell>
          <cell r="D69">
            <v>1143.5468902036221</v>
          </cell>
          <cell r="E69">
            <v>1100.9614858790933</v>
          </cell>
          <cell r="F69">
            <v>1032.7414532623197</v>
          </cell>
          <cell r="G69">
            <v>1049.5319071445174</v>
          </cell>
          <cell r="H69">
            <v>1098.7732468255854</v>
          </cell>
          <cell r="I69">
            <v>1154.7024599444021</v>
          </cell>
          <cell r="J69">
            <v>1228.1685238290152</v>
          </cell>
          <cell r="K69">
            <v>1314.0256035063921</v>
          </cell>
          <cell r="L69">
            <v>1391.4551481176886</v>
          </cell>
          <cell r="M69">
            <v>1488.6229242624931</v>
          </cell>
        </row>
        <row r="70">
          <cell r="B70">
            <v>997.97571209280181</v>
          </cell>
          <cell r="C70">
            <v>1118.9758544140591</v>
          </cell>
          <cell r="D70">
            <v>1136.5615749831661</v>
          </cell>
          <cell r="E70">
            <v>1011.9229535523539</v>
          </cell>
          <cell r="F70">
            <v>853.57489851303251</v>
          </cell>
          <cell r="G70">
            <v>816.42303181654052</v>
          </cell>
          <cell r="H70">
            <v>845.12961828696677</v>
          </cell>
          <cell r="I70">
            <v>882.65466654299246</v>
          </cell>
          <cell r="J70">
            <v>933.63503818562765</v>
          </cell>
          <cell r="K70">
            <v>996.12272488646374</v>
          </cell>
          <cell r="L70">
            <v>1047.8513336393044</v>
          </cell>
          <cell r="M70">
            <v>1127.8085502539027</v>
          </cell>
        </row>
        <row r="71">
          <cell r="B71">
            <v>7220.738465153875</v>
          </cell>
          <cell r="C71">
            <v>8356.1992817156115</v>
          </cell>
          <cell r="D71">
            <v>9518.7872103128902</v>
          </cell>
          <cell r="E71">
            <v>10544.223389402889</v>
          </cell>
          <cell r="F71">
            <v>11398.291592910271</v>
          </cell>
          <cell r="G71">
            <v>12211.747981766903</v>
          </cell>
          <cell r="H71">
            <v>13043.596185150018</v>
          </cell>
          <cell r="I71">
            <v>13912.976521475155</v>
          </cell>
          <cell r="J71">
            <v>14833.373159011911</v>
          </cell>
          <cell r="K71">
            <v>15816.333626378044</v>
          </cell>
          <cell r="L71">
            <v>16851.100738209072</v>
          </cell>
          <cell r="M71">
            <v>17965.853849222894</v>
          </cell>
        </row>
        <row r="72">
          <cell r="B72">
            <v>8984.2365944496178</v>
          </cell>
          <cell r="C72">
            <v>10058.870434766173</v>
          </cell>
          <cell r="D72">
            <v>11293.160985972747</v>
          </cell>
          <cell r="E72">
            <v>12373.427806763142</v>
          </cell>
          <cell r="F72">
            <v>13326.552089843557</v>
          </cell>
          <cell r="G72">
            <v>14273.99207183955</v>
          </cell>
          <cell r="H72">
            <v>15259.175684285863</v>
          </cell>
          <cell r="I72">
            <v>16298.235224522936</v>
          </cell>
          <cell r="J72">
            <v>17393.413806656714</v>
          </cell>
          <cell r="K72">
            <v>18559.170132791322</v>
          </cell>
          <cell r="L72">
            <v>19776.658979081785</v>
          </cell>
          <cell r="M72">
            <v>21065.877085219276</v>
          </cell>
        </row>
        <row r="73">
          <cell r="B73">
            <v>7445.1597283539595</v>
          </cell>
          <cell r="C73">
            <v>8588.952354214789</v>
          </cell>
          <cell r="D73">
            <v>9628.4719929132498</v>
          </cell>
          <cell r="E73">
            <v>10532.870622262582</v>
          </cell>
          <cell r="F73">
            <v>11340.066511572646</v>
          </cell>
          <cell r="G73">
            <v>12122.147889594355</v>
          </cell>
          <cell r="H73">
            <v>12951.162147770779</v>
          </cell>
          <cell r="I73">
            <v>13820.933423490864</v>
          </cell>
          <cell r="J73">
            <v>14733.653391508138</v>
          </cell>
          <cell r="K73">
            <v>15704.543604086593</v>
          </cell>
          <cell r="L73">
            <v>16727.289295049846</v>
          </cell>
          <cell r="M73">
            <v>17827.768264209797</v>
          </cell>
        </row>
        <row r="81">
          <cell r="B81">
            <v>2105.2432999999996</v>
          </cell>
          <cell r="C81">
            <v>2261.375</v>
          </cell>
          <cell r="D81">
            <v>2436.7787000000003</v>
          </cell>
          <cell r="E81">
            <v>2590.3627999999999</v>
          </cell>
          <cell r="F81">
            <v>2741.6787999999997</v>
          </cell>
          <cell r="G81">
            <v>2896.2136</v>
          </cell>
          <cell r="H81">
            <v>3057.6774999999998</v>
          </cell>
          <cell r="I81">
            <v>3228.143</v>
          </cell>
          <cell r="J81">
            <v>3408.1120000000001</v>
          </cell>
          <cell r="K81">
            <v>3598.1142</v>
          </cell>
          <cell r="L81">
            <v>3771.2842000000001</v>
          </cell>
          <cell r="M81">
            <v>3919.3825999999999</v>
          </cell>
        </row>
        <row r="82">
          <cell r="B82">
            <v>2076.870039938131</v>
          </cell>
          <cell r="C82">
            <v>2235.0774106163062</v>
          </cell>
          <cell r="D82">
            <v>2427.1357497139938</v>
          </cell>
          <cell r="E82">
            <v>2580.1408701611253</v>
          </cell>
          <cell r="F82">
            <v>2730.8780106247868</v>
          </cell>
          <cell r="G82">
            <v>2884.7954275978973</v>
          </cell>
          <cell r="H82">
            <v>3045.5860800319401</v>
          </cell>
          <cell r="I82">
            <v>3215.3390068685908</v>
          </cell>
          <cell r="J82">
            <v>3394.5380765641394</v>
          </cell>
          <cell r="K82">
            <v>3583.7183692176081</v>
          </cell>
          <cell r="L82">
            <v>3756.0077857941583</v>
          </cell>
          <cell r="M82">
            <v>3903.1738383035272</v>
          </cell>
        </row>
        <row r="83">
          <cell r="B83">
            <v>128.4348086324793</v>
          </cell>
          <cell r="C83">
            <v>159.60113973151002</v>
          </cell>
          <cell r="D83">
            <v>174.30647277342729</v>
          </cell>
          <cell r="E83">
            <v>116.07837971705045</v>
          </cell>
          <cell r="F83">
            <v>116.29740620442821</v>
          </cell>
          <cell r="G83">
            <v>142.75458007574019</v>
          </cell>
          <cell r="H83">
            <v>189.04595892017377</v>
          </cell>
          <cell r="I83">
            <v>236.30430602616343</v>
          </cell>
          <cell r="J83">
            <v>289.20686643838661</v>
          </cell>
          <cell r="K83">
            <v>233.82143754911877</v>
          </cell>
          <cell r="L83">
            <v>221.63319912022931</v>
          </cell>
          <cell r="M83">
            <v>232.15170804676265</v>
          </cell>
        </row>
        <row r="85">
          <cell r="B85">
            <v>14.715022396798627</v>
          </cell>
          <cell r="C85">
            <v>13.940922027975292</v>
          </cell>
          <cell r="D85">
            <v>12.358109163298408</v>
          </cell>
          <cell r="E85">
            <v>10.763670117312772</v>
          </cell>
          <cell r="F85">
            <v>9.1710213756400254</v>
          </cell>
          <cell r="G85">
            <v>8.6683012341829322</v>
          </cell>
          <cell r="H85">
            <v>8.4528732810727725</v>
          </cell>
          <cell r="I85">
            <v>8.3150750273872944</v>
          </cell>
          <cell r="J85">
            <v>8.2664903672954502</v>
          </cell>
          <cell r="K85">
            <v>8.2754087229174207</v>
          </cell>
          <cell r="L85">
            <v>8.1968344709091223</v>
          </cell>
          <cell r="M85">
            <v>8.2646669963888328</v>
          </cell>
        </row>
        <row r="86">
          <cell r="B86">
            <v>10.710417321005306</v>
          </cell>
          <cell r="C86">
            <v>11.71377586639673</v>
          </cell>
          <cell r="D86">
            <v>10.711363876065779</v>
          </cell>
          <cell r="E86">
            <v>9.303930494765849</v>
          </cell>
          <cell r="F86">
            <v>8.036904755701201</v>
          </cell>
          <cell r="G86">
            <v>7.6051537317264</v>
          </cell>
          <cell r="H86">
            <v>7.4409440659997692</v>
          </cell>
          <cell r="I86">
            <v>7.3181064396007409</v>
          </cell>
          <cell r="J86">
            <v>7.2906406135978523</v>
          </cell>
          <cell r="K86">
            <v>7.3097700333277675</v>
          </cell>
          <cell r="L86">
            <v>7.2592933574337968</v>
          </cell>
          <cell r="M86">
            <v>7.2895714503078732</v>
          </cell>
        </row>
      </sheetData>
      <sheetData sheetId="2" refreshError="1"/>
      <sheetData sheetId="3">
        <row r="9">
          <cell r="B9">
            <v>11744.710041818669</v>
          </cell>
          <cell r="C9">
            <v>12726.496934250805</v>
          </cell>
          <cell r="D9">
            <v>13716.301167798503</v>
          </cell>
          <cell r="E9">
            <v>14741.659675540583</v>
          </cell>
          <cell r="F9">
            <v>15812.234208011385</v>
          </cell>
          <cell r="G9">
            <v>16963.996675197297</v>
          </cell>
          <cell r="H9">
            <v>18167.710141098705</v>
          </cell>
          <cell r="I9">
            <v>19436.506294156461</v>
          </cell>
          <cell r="J9">
            <v>20783.127846154937</v>
          </cell>
          <cell r="K9">
            <v>22220.847365860409</v>
          </cell>
          <cell r="L9">
            <v>23763.731655275173</v>
          </cell>
          <cell r="M9">
            <v>25399.804009066425</v>
          </cell>
        </row>
      </sheetData>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hyperlink" Target="https://www.bcb.gov.br/content/estatisticas/Documents/Tabelas_especiais/Divggnp.xls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bcb.gov.br/content/estatisticas/Documents/Tabelas_especiais/Divggnp.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1F80B-DAEA-406B-A6A3-D9972CD6905C}">
  <sheetPr>
    <tabColor theme="8" tint="0.59999389629810485"/>
  </sheetPr>
  <dimension ref="A2:CE188"/>
  <sheetViews>
    <sheetView showGridLines="0" zoomScaleNormal="100" workbookViewId="0">
      <pane xSplit="2" ySplit="8" topLeftCell="V126" activePane="bottomRight" state="frozen"/>
      <selection pane="topRight" activeCell="B1" sqref="B1"/>
      <selection pane="bottomLeft" activeCell="A3" sqref="A3"/>
      <selection pane="bottomRight" activeCell="U9" sqref="U9:AI131"/>
    </sheetView>
  </sheetViews>
  <sheetFormatPr defaultColWidth="10.7109375" defaultRowHeight="15"/>
  <cols>
    <col min="1" max="1" width="14.7109375" customWidth="1"/>
    <col min="2" max="2" width="14.28515625" bestFit="1" customWidth="1"/>
    <col min="3" max="3" width="12.140625" bestFit="1" customWidth="1"/>
    <col min="7" max="7" width="10.85546875" style="17" bestFit="1" customWidth="1"/>
    <col min="8" max="8" width="11.42578125" customWidth="1"/>
    <col min="9" max="9" width="10.85546875" bestFit="1" customWidth="1"/>
    <col min="10" max="10" width="12.140625" bestFit="1" customWidth="1"/>
    <col min="11" max="11" width="10.85546875" bestFit="1" customWidth="1"/>
    <col min="12" max="12" width="13.28515625" customWidth="1"/>
    <col min="13" max="13" width="10.85546875" bestFit="1" customWidth="1"/>
    <col min="14" max="14" width="12.28515625" customWidth="1"/>
    <col min="15" max="15" width="12.42578125" customWidth="1"/>
    <col min="21" max="22" width="11.42578125" customWidth="1"/>
    <col min="23" max="23" width="12.28515625" bestFit="1" customWidth="1"/>
    <col min="24" max="24" width="11.42578125" customWidth="1"/>
    <col min="25" max="25" width="12.28515625" bestFit="1" customWidth="1"/>
    <col min="26" max="35" width="12.28515625" customWidth="1"/>
    <col min="36" max="37" width="13.42578125" customWidth="1"/>
    <col min="38" max="38" width="11.42578125" customWidth="1"/>
    <col min="42" max="42" width="11.42578125" customWidth="1"/>
    <col min="44" max="44" width="11.42578125" customWidth="1"/>
    <col min="46" max="46" width="11.42578125" customWidth="1"/>
    <col min="50" max="50" width="11.42578125" customWidth="1"/>
    <col min="52" max="55" width="13.42578125" customWidth="1"/>
    <col min="56" max="56" width="11.42578125" customWidth="1"/>
    <col min="60" max="60" width="11.42578125" customWidth="1"/>
    <col min="64" max="64" width="11.42578125" customWidth="1"/>
    <col min="66" max="66" width="11.42578125" customWidth="1"/>
    <col min="68" max="68" width="11.42578125" customWidth="1"/>
    <col min="70" max="70" width="13.42578125" customWidth="1"/>
    <col min="71" max="71" width="14.42578125" customWidth="1"/>
    <col min="74" max="79" width="13.28515625" customWidth="1"/>
  </cols>
  <sheetData>
    <row r="2" spans="1:83" ht="23.25">
      <c r="A2" s="12" t="s">
        <v>74</v>
      </c>
    </row>
    <row r="4" spans="1:83" ht="18.75">
      <c r="A4" s="33" t="s">
        <v>0</v>
      </c>
    </row>
    <row r="7" spans="1:83" ht="30" customHeight="1">
      <c r="C7" s="182" t="s">
        <v>1</v>
      </c>
      <c r="D7" s="182"/>
      <c r="E7" s="182"/>
      <c r="F7" s="182"/>
      <c r="G7" s="182"/>
      <c r="H7" s="182"/>
      <c r="I7" s="182"/>
      <c r="J7" s="182"/>
      <c r="K7" s="182"/>
      <c r="L7" s="182"/>
      <c r="M7" s="182"/>
      <c r="N7" s="182"/>
      <c r="O7" s="182"/>
      <c r="P7" s="180" t="s">
        <v>2</v>
      </c>
      <c r="Q7" s="180"/>
      <c r="R7" s="180"/>
      <c r="S7" s="180"/>
      <c r="T7" s="180"/>
      <c r="U7" s="178"/>
      <c r="V7" s="183" t="s">
        <v>3</v>
      </c>
      <c r="W7" s="183"/>
      <c r="X7" s="183"/>
      <c r="Y7" s="183"/>
      <c r="Z7" s="183"/>
      <c r="AA7" s="183"/>
      <c r="AB7" s="183"/>
      <c r="AC7" s="183"/>
      <c r="AD7" s="183"/>
      <c r="AE7" s="183"/>
      <c r="AF7" s="183"/>
      <c r="AG7" s="183"/>
      <c r="AH7" s="183"/>
      <c r="AI7" s="183"/>
      <c r="AJ7" s="181" t="s">
        <v>4</v>
      </c>
      <c r="AK7" s="181"/>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c r="BL7" s="181"/>
      <c r="BM7" s="181"/>
      <c r="BN7" s="181"/>
      <c r="BO7" s="181"/>
      <c r="BP7" s="181"/>
      <c r="BQ7" s="181"/>
      <c r="BR7" s="181"/>
      <c r="BS7" s="181"/>
    </row>
    <row r="8" spans="1:83" ht="90">
      <c r="B8" s="1" t="s">
        <v>5</v>
      </c>
      <c r="C8" s="2" t="s">
        <v>6</v>
      </c>
      <c r="D8" s="2" t="s">
        <v>7</v>
      </c>
      <c r="E8" s="2" t="s">
        <v>8</v>
      </c>
      <c r="F8" s="2" t="s">
        <v>9</v>
      </c>
      <c r="G8" s="13" t="s">
        <v>10</v>
      </c>
      <c r="H8" s="2" t="s">
        <v>11</v>
      </c>
      <c r="I8" s="2" t="s">
        <v>12</v>
      </c>
      <c r="J8" s="2" t="s">
        <v>61</v>
      </c>
      <c r="K8" s="2" t="s">
        <v>62</v>
      </c>
      <c r="L8" s="2" t="s">
        <v>13</v>
      </c>
      <c r="M8" s="2" t="s">
        <v>14</v>
      </c>
      <c r="N8" s="2" t="s">
        <v>15</v>
      </c>
      <c r="O8" s="2" t="s">
        <v>16</v>
      </c>
      <c r="P8" s="3" t="s">
        <v>17</v>
      </c>
      <c r="Q8" s="3" t="s">
        <v>18</v>
      </c>
      <c r="R8" s="3" t="s">
        <v>19</v>
      </c>
      <c r="S8" s="3" t="s">
        <v>20</v>
      </c>
      <c r="T8" s="3" t="s">
        <v>63</v>
      </c>
      <c r="U8" s="4" t="s">
        <v>564</v>
      </c>
      <c r="V8" s="4" t="s">
        <v>25</v>
      </c>
      <c r="W8" s="4" t="s">
        <v>26</v>
      </c>
      <c r="X8" s="4" t="s">
        <v>27</v>
      </c>
      <c r="Y8" s="4" t="s">
        <v>28</v>
      </c>
      <c r="Z8" s="4" t="s">
        <v>64</v>
      </c>
      <c r="AA8" s="4" t="s">
        <v>65</v>
      </c>
      <c r="AB8" s="4" t="s">
        <v>66</v>
      </c>
      <c r="AC8" s="4" t="s">
        <v>67</v>
      </c>
      <c r="AD8" s="4" t="s">
        <v>21</v>
      </c>
      <c r="AE8" s="4" t="s">
        <v>22</v>
      </c>
      <c r="AF8" s="4" t="s">
        <v>23</v>
      </c>
      <c r="AG8" s="4" t="s">
        <v>24</v>
      </c>
      <c r="AH8" s="4" t="s">
        <v>68</v>
      </c>
      <c r="AI8" s="4" t="s">
        <v>69</v>
      </c>
      <c r="AJ8" s="5" t="s">
        <v>29</v>
      </c>
      <c r="AK8" s="5" t="s">
        <v>30</v>
      </c>
      <c r="AL8" s="5" t="s">
        <v>31</v>
      </c>
      <c r="AM8" s="5" t="s">
        <v>32</v>
      </c>
      <c r="AN8" s="5" t="s">
        <v>33</v>
      </c>
      <c r="AO8" s="5" t="s">
        <v>34</v>
      </c>
      <c r="AP8" s="5" t="s">
        <v>35</v>
      </c>
      <c r="AQ8" s="5" t="s">
        <v>36</v>
      </c>
      <c r="AR8" s="5" t="s">
        <v>37</v>
      </c>
      <c r="AS8" s="5" t="s">
        <v>38</v>
      </c>
      <c r="AT8" s="5" t="s">
        <v>39</v>
      </c>
      <c r="AU8" s="5" t="s">
        <v>40</v>
      </c>
      <c r="AV8" s="5" t="s">
        <v>41</v>
      </c>
      <c r="AW8" s="5" t="s">
        <v>42</v>
      </c>
      <c r="AX8" s="5" t="s">
        <v>43</v>
      </c>
      <c r="AY8" s="5" t="s">
        <v>44</v>
      </c>
      <c r="AZ8" s="6" t="s">
        <v>45</v>
      </c>
      <c r="BA8" s="6" t="s">
        <v>46</v>
      </c>
      <c r="BB8" s="6" t="s">
        <v>47</v>
      </c>
      <c r="BC8" s="6" t="s">
        <v>48</v>
      </c>
      <c r="BD8" s="6" t="s">
        <v>49</v>
      </c>
      <c r="BE8" s="6" t="s">
        <v>50</v>
      </c>
      <c r="BF8" s="6" t="s">
        <v>72</v>
      </c>
      <c r="BG8" s="6" t="s">
        <v>73</v>
      </c>
      <c r="BH8" s="6" t="s">
        <v>51</v>
      </c>
      <c r="BI8" s="6" t="s">
        <v>52</v>
      </c>
      <c r="BJ8" s="6" t="s">
        <v>70</v>
      </c>
      <c r="BK8" s="6" t="s">
        <v>71</v>
      </c>
      <c r="BL8" s="6" t="s">
        <v>53</v>
      </c>
      <c r="BM8" s="6" t="s">
        <v>54</v>
      </c>
      <c r="BN8" s="7" t="s">
        <v>55</v>
      </c>
      <c r="BO8" s="7" t="s">
        <v>56</v>
      </c>
      <c r="BP8" s="7" t="s">
        <v>57</v>
      </c>
      <c r="BQ8" s="7" t="s">
        <v>58</v>
      </c>
      <c r="BR8" s="8" t="s">
        <v>286</v>
      </c>
      <c r="BS8" s="8" t="s">
        <v>59</v>
      </c>
      <c r="CB8" s="9"/>
      <c r="CC8" s="9"/>
      <c r="CD8" s="9"/>
      <c r="CE8" s="9"/>
    </row>
    <row r="9" spans="1:83">
      <c r="B9" s="30" t="s">
        <v>270</v>
      </c>
      <c r="C9" s="2"/>
      <c r="D9" s="2"/>
      <c r="E9" s="2"/>
      <c r="F9" s="2"/>
      <c r="G9" s="13"/>
      <c r="H9" s="2"/>
      <c r="I9" s="2"/>
      <c r="J9" s="2"/>
      <c r="K9" s="2"/>
      <c r="L9" s="2"/>
      <c r="M9" s="2"/>
      <c r="N9" s="2"/>
      <c r="O9" s="2"/>
      <c r="P9" s="184">
        <v>4.3297326013812665</v>
      </c>
      <c r="Q9" s="3"/>
      <c r="R9" s="3"/>
      <c r="S9" s="189">
        <v>70.61</v>
      </c>
      <c r="T9" s="186">
        <v>0.90560000000000007</v>
      </c>
      <c r="U9" s="194">
        <v>186146</v>
      </c>
      <c r="V9" s="195">
        <v>-5711.01857836</v>
      </c>
      <c r="W9" s="195">
        <f t="shared" ref="W9:W12" si="0">V9/U9*100</f>
        <v>-3.0680318558335933</v>
      </c>
      <c r="X9" s="195">
        <v>1.7698813199999999</v>
      </c>
      <c r="Y9" s="195">
        <f t="shared" ref="Y9:Y12" si="1">X9/U9*100</f>
        <v>9.5080276771996176E-4</v>
      </c>
      <c r="Z9" s="195">
        <v>-5275.1774330400003</v>
      </c>
      <c r="AA9" s="195">
        <f t="shared" ref="AA9:AA12" si="2">Z9/U9*100</f>
        <v>-2.8338924462733552</v>
      </c>
      <c r="AB9" s="195">
        <v>434.07126399999987</v>
      </c>
      <c r="AC9" s="195">
        <f t="shared" ref="AC9:AC12" si="3">AB9/U9*100</f>
        <v>0.23318860679251763</v>
      </c>
      <c r="AD9" s="194">
        <v>33742</v>
      </c>
      <c r="AE9" s="195">
        <v>5.5687403245983775</v>
      </c>
      <c r="AF9" s="195"/>
      <c r="AG9" s="195"/>
      <c r="AH9" s="194">
        <v>519.41300000000001</v>
      </c>
      <c r="AI9" s="195">
        <f>AH9/U9*100</f>
        <v>0.27903527338755602</v>
      </c>
      <c r="AJ9" s="5"/>
      <c r="AK9" s="5"/>
      <c r="AL9" s="5"/>
      <c r="AM9" s="5"/>
      <c r="AN9" s="5"/>
      <c r="AO9" s="5"/>
      <c r="AP9" s="5"/>
      <c r="AQ9" s="5"/>
      <c r="AR9" s="5"/>
      <c r="AS9" s="5"/>
      <c r="AT9" s="5"/>
      <c r="AU9" s="5"/>
      <c r="AV9" s="5"/>
      <c r="AW9" s="5"/>
      <c r="AX9" s="5"/>
      <c r="AY9" s="5"/>
      <c r="AZ9" s="6"/>
      <c r="BA9" s="6"/>
      <c r="BB9" s="6"/>
      <c r="BC9" s="6"/>
      <c r="BD9" s="6"/>
      <c r="BE9" s="6"/>
      <c r="BF9" s="6"/>
      <c r="BG9" s="6"/>
      <c r="BH9" s="6"/>
      <c r="BI9" s="6"/>
      <c r="BJ9" s="6"/>
      <c r="BK9" s="6"/>
      <c r="BL9" s="6"/>
      <c r="BM9" s="6"/>
      <c r="BN9" s="7"/>
      <c r="BO9" s="7"/>
      <c r="BP9" s="7"/>
      <c r="BQ9" s="7"/>
      <c r="BR9" s="8"/>
      <c r="BS9" s="8"/>
      <c r="CB9" s="9"/>
      <c r="CC9" s="9"/>
      <c r="CD9" s="9"/>
      <c r="CE9" s="9"/>
    </row>
    <row r="10" spans="1:83">
      <c r="B10" s="30" t="s">
        <v>271</v>
      </c>
      <c r="C10" s="2"/>
      <c r="D10" s="2"/>
      <c r="E10" s="2"/>
      <c r="F10" s="2"/>
      <c r="G10" s="13"/>
      <c r="H10" s="2"/>
      <c r="I10" s="2"/>
      <c r="J10" s="2"/>
      <c r="K10" s="2"/>
      <c r="L10" s="2"/>
      <c r="M10" s="2"/>
      <c r="N10" s="2"/>
      <c r="O10" s="2"/>
      <c r="P10" s="184">
        <v>7.5409959734834473</v>
      </c>
      <c r="Q10" s="3"/>
      <c r="R10" s="3"/>
      <c r="S10" s="189">
        <v>59.21</v>
      </c>
      <c r="T10" s="186">
        <v>0.91859999999999997</v>
      </c>
      <c r="U10" s="194">
        <v>192551</v>
      </c>
      <c r="V10" s="195">
        <v>-6656.6474631500005</v>
      </c>
      <c r="W10" s="195">
        <f t="shared" si="0"/>
        <v>-3.4570827797051171</v>
      </c>
      <c r="X10" s="195">
        <v>5.5771912000000006</v>
      </c>
      <c r="Y10" s="195">
        <f t="shared" si="1"/>
        <v>2.8964748040778811E-3</v>
      </c>
      <c r="Z10" s="195">
        <v>-5946.1332809500009</v>
      </c>
      <c r="AA10" s="195">
        <f t="shared" si="2"/>
        <v>-3.0880822644130652</v>
      </c>
      <c r="AB10" s="195">
        <v>704.93699099999958</v>
      </c>
      <c r="AC10" s="195">
        <f t="shared" si="3"/>
        <v>0.3661040404879744</v>
      </c>
      <c r="AD10" s="194">
        <v>33512</v>
      </c>
      <c r="AE10" s="195">
        <v>5.0244611133517347</v>
      </c>
      <c r="AF10" s="195"/>
      <c r="AG10" s="195"/>
      <c r="AH10" s="194">
        <v>1008.7839999999999</v>
      </c>
      <c r="AI10" s="195">
        <f t="shared" ref="AI10:AI73" si="4">AH10/U10*100</f>
        <v>0.5239048356019963</v>
      </c>
      <c r="AJ10" s="5"/>
      <c r="AK10" s="5"/>
      <c r="AL10" s="5"/>
      <c r="AM10" s="5"/>
      <c r="AN10" s="5"/>
      <c r="AO10" s="5"/>
      <c r="AP10" s="5"/>
      <c r="AQ10" s="5"/>
      <c r="AR10" s="5"/>
      <c r="AS10" s="5"/>
      <c r="AT10" s="5"/>
      <c r="AU10" s="5"/>
      <c r="AV10" s="5"/>
      <c r="AW10" s="5"/>
      <c r="AX10" s="5"/>
      <c r="AY10" s="5"/>
      <c r="AZ10" s="6"/>
      <c r="BA10" s="6"/>
      <c r="BB10" s="6"/>
      <c r="BC10" s="6"/>
      <c r="BD10" s="6"/>
      <c r="BE10" s="6"/>
      <c r="BF10" s="6"/>
      <c r="BG10" s="6"/>
      <c r="BH10" s="6"/>
      <c r="BI10" s="6"/>
      <c r="BJ10" s="6"/>
      <c r="BK10" s="6"/>
      <c r="BL10" s="6"/>
      <c r="BM10" s="6"/>
      <c r="BN10" s="7"/>
      <c r="BO10" s="7"/>
      <c r="BP10" s="7"/>
      <c r="BQ10" s="7"/>
      <c r="BR10" s="8"/>
      <c r="BS10" s="8"/>
      <c r="CB10" s="9"/>
      <c r="CC10" s="9"/>
      <c r="CD10" s="9"/>
      <c r="CE10" s="9"/>
    </row>
    <row r="11" spans="1:83">
      <c r="B11" s="30" t="s">
        <v>272</v>
      </c>
      <c r="C11" s="2"/>
      <c r="D11" s="2"/>
      <c r="E11" s="2"/>
      <c r="F11" s="2"/>
      <c r="G11" s="13"/>
      <c r="H11" s="2"/>
      <c r="I11" s="2"/>
      <c r="J11" s="2"/>
      <c r="K11" s="2"/>
      <c r="L11" s="2"/>
      <c r="M11" s="2"/>
      <c r="N11" s="2"/>
      <c r="O11" s="2"/>
      <c r="P11" s="184">
        <v>4.3965487005015547</v>
      </c>
      <c r="Q11" s="3"/>
      <c r="R11" s="3"/>
      <c r="S11" s="189">
        <v>43.93</v>
      </c>
      <c r="T11" s="186">
        <v>0.95429999999999993</v>
      </c>
      <c r="U11" s="194">
        <v>197782</v>
      </c>
      <c r="V11" s="195">
        <v>-2421.4625996049999</v>
      </c>
      <c r="W11" s="195">
        <f t="shared" si="0"/>
        <v>-1.224308885340931</v>
      </c>
      <c r="X11" s="195">
        <v>4.6599880099999993</v>
      </c>
      <c r="Y11" s="195">
        <f t="shared" si="1"/>
        <v>2.356123413657461E-3</v>
      </c>
      <c r="Z11" s="195">
        <v>-1169.2632795950005</v>
      </c>
      <c r="AA11" s="195">
        <f t="shared" si="2"/>
        <v>-0.59118791376111102</v>
      </c>
      <c r="AB11" s="195">
        <v>1247.5393319999994</v>
      </c>
      <c r="AC11" s="195">
        <f t="shared" si="3"/>
        <v>0.63076484816616241</v>
      </c>
      <c r="AD11" s="194">
        <v>48713</v>
      </c>
      <c r="AE11" s="195">
        <v>6.7486166949746611</v>
      </c>
      <c r="AF11" s="195"/>
      <c r="AG11" s="195"/>
      <c r="AH11" s="194">
        <v>1458.4170000000001</v>
      </c>
      <c r="AI11" s="195">
        <f t="shared" si="4"/>
        <v>0.73738611198187909</v>
      </c>
      <c r="AJ11" s="5"/>
      <c r="AK11" s="5"/>
      <c r="AL11" s="5"/>
      <c r="AM11" s="5"/>
      <c r="AN11" s="5"/>
      <c r="AO11" s="5"/>
      <c r="AP11" s="5"/>
      <c r="AQ11" s="5"/>
      <c r="AR11" s="5"/>
      <c r="AS11" s="5"/>
      <c r="AT11" s="5"/>
      <c r="AU11" s="5"/>
      <c r="AV11" s="5"/>
      <c r="AW11" s="5"/>
      <c r="AX11" s="5"/>
      <c r="AY11" s="5"/>
      <c r="AZ11" s="6"/>
      <c r="BA11" s="6"/>
      <c r="BB11" s="6"/>
      <c r="BC11" s="6"/>
      <c r="BD11" s="6"/>
      <c r="BE11" s="6"/>
      <c r="BF11" s="6"/>
      <c r="BG11" s="6"/>
      <c r="BH11" s="6"/>
      <c r="BI11" s="6"/>
      <c r="BJ11" s="6"/>
      <c r="BK11" s="6"/>
      <c r="BL11" s="6"/>
      <c r="BM11" s="6"/>
      <c r="BN11" s="7"/>
      <c r="BO11" s="7"/>
      <c r="BP11" s="7"/>
      <c r="BQ11" s="7"/>
      <c r="BR11" s="8"/>
      <c r="BS11" s="8"/>
      <c r="CB11" s="9"/>
      <c r="CC11" s="9"/>
      <c r="CD11" s="9"/>
      <c r="CE11" s="9"/>
    </row>
    <row r="12" spans="1:83">
      <c r="B12" s="30" t="s">
        <v>273</v>
      </c>
      <c r="C12" s="2"/>
      <c r="D12" s="2"/>
      <c r="E12" s="2"/>
      <c r="F12" s="2"/>
      <c r="G12" s="13"/>
      <c r="H12" s="2"/>
      <c r="I12" s="2"/>
      <c r="J12" s="2"/>
      <c r="K12" s="2"/>
      <c r="L12" s="2"/>
      <c r="M12" s="2"/>
      <c r="N12" s="2"/>
      <c r="O12" s="2"/>
      <c r="P12" s="184">
        <v>4.5062070587444794</v>
      </c>
      <c r="Q12" s="3"/>
      <c r="R12" s="3"/>
      <c r="S12" s="189">
        <v>36.24</v>
      </c>
      <c r="T12" s="186">
        <v>0.96979000000000004</v>
      </c>
      <c r="U12" s="194">
        <v>194256</v>
      </c>
      <c r="V12" s="195">
        <v>-3923.2932969000003</v>
      </c>
      <c r="W12" s="195">
        <f t="shared" si="0"/>
        <v>-2.0196510259142575</v>
      </c>
      <c r="X12" s="195">
        <v>6.0067727699999995</v>
      </c>
      <c r="Y12" s="195">
        <f t="shared" si="1"/>
        <v>3.0921942024956755E-3</v>
      </c>
      <c r="Z12" s="195">
        <v>-4096.6753181300001</v>
      </c>
      <c r="AA12" s="195">
        <f t="shared" si="2"/>
        <v>-2.1089054228080473</v>
      </c>
      <c r="AB12" s="195">
        <v>-179.38879399999973</v>
      </c>
      <c r="AC12" s="195">
        <f t="shared" si="3"/>
        <v>-9.234659109628518E-2</v>
      </c>
      <c r="AD12" s="194">
        <v>51840</v>
      </c>
      <c r="AE12" s="195">
        <v>6.7260472146717101</v>
      </c>
      <c r="AF12" s="195"/>
      <c r="AG12" s="195"/>
      <c r="AH12" s="194">
        <v>1396.808</v>
      </c>
      <c r="AI12" s="195">
        <f t="shared" si="4"/>
        <v>0.71905526727617164</v>
      </c>
      <c r="AJ12" s="5"/>
      <c r="AK12" s="5"/>
      <c r="AL12" s="5"/>
      <c r="AM12" s="5"/>
      <c r="AN12" s="5"/>
      <c r="AO12" s="5"/>
      <c r="AP12" s="5"/>
      <c r="AQ12" s="5"/>
      <c r="AR12" s="5"/>
      <c r="AS12" s="5"/>
      <c r="AT12" s="5"/>
      <c r="AU12" s="5"/>
      <c r="AV12" s="5"/>
      <c r="AW12" s="5"/>
      <c r="AX12" s="5"/>
      <c r="AY12" s="5"/>
      <c r="AZ12" s="6"/>
      <c r="BA12" s="6"/>
      <c r="BB12" s="6"/>
      <c r="BC12" s="6"/>
      <c r="BD12" s="6"/>
      <c r="BE12" s="6"/>
      <c r="BF12" s="6"/>
      <c r="BG12" s="6"/>
      <c r="BH12" s="6"/>
      <c r="BI12" s="6"/>
      <c r="BJ12" s="6"/>
      <c r="BK12" s="6"/>
      <c r="BL12" s="6"/>
      <c r="BM12" s="6"/>
      <c r="BN12" s="7"/>
      <c r="BO12" s="7"/>
      <c r="BP12" s="7"/>
      <c r="BQ12" s="7"/>
      <c r="BR12" s="8"/>
      <c r="BS12" s="8"/>
      <c r="CB12" s="9"/>
      <c r="CC12" s="9"/>
      <c r="CD12" s="9"/>
      <c r="CE12" s="9"/>
    </row>
    <row r="13" spans="1:83">
      <c r="B13" s="30" t="s">
        <v>266</v>
      </c>
      <c r="C13" s="192">
        <v>189323.29914772199</v>
      </c>
      <c r="D13" s="191"/>
      <c r="E13" s="191"/>
      <c r="F13" s="191"/>
      <c r="G13" s="190"/>
      <c r="H13" s="193">
        <v>35403.155673255103</v>
      </c>
      <c r="I13" s="191">
        <f>H13/C13*100</f>
        <v>18.699840871477381</v>
      </c>
      <c r="J13" s="192">
        <v>125685.04552922399</v>
      </c>
      <c r="K13" s="191">
        <f>J13/C13*100</f>
        <v>66.386464896302371</v>
      </c>
      <c r="L13" s="193">
        <v>14772.8059471744</v>
      </c>
      <c r="M13" s="191">
        <f>L13/C13*100</f>
        <v>7.8029518890053389</v>
      </c>
      <c r="N13" s="193">
        <v>12305.881160397301</v>
      </c>
      <c r="O13" s="191">
        <f>N13/C13*100</f>
        <v>6.4999295996820097</v>
      </c>
      <c r="P13" s="184">
        <v>2.7422582641472957</v>
      </c>
      <c r="Q13" s="3"/>
      <c r="R13" s="3"/>
      <c r="S13" s="189">
        <v>29.06</v>
      </c>
      <c r="T13" s="186">
        <v>0.98769999999999991</v>
      </c>
      <c r="U13" s="194">
        <v>199236</v>
      </c>
      <c r="V13" s="195">
        <v>-3524.9064667456096</v>
      </c>
      <c r="W13" s="195">
        <f>V13/U13*100</f>
        <v>-1.7692116217679583</v>
      </c>
      <c r="X13" s="195">
        <v>2.2182550000000001</v>
      </c>
      <c r="Y13" s="195">
        <f>X13/U13*100</f>
        <v>1.1133806139452709E-3</v>
      </c>
      <c r="Z13" s="195">
        <v>-4736.5343140549994</v>
      </c>
      <c r="AA13" s="195">
        <f>Z13/U13*100</f>
        <v>-2.3773486287894756</v>
      </c>
      <c r="AB13" s="195">
        <v>-1213.8461023093894</v>
      </c>
      <c r="AC13" s="195">
        <f>AB13/U13*100</f>
        <v>-0.60925038763546213</v>
      </c>
      <c r="AD13" s="194">
        <v>55753</v>
      </c>
      <c r="AE13" s="195">
        <v>7.1129397505820808</v>
      </c>
      <c r="AF13" s="195"/>
      <c r="AG13" s="195"/>
      <c r="AH13" s="194">
        <v>1624.5329999999999</v>
      </c>
      <c r="AI13" s="195">
        <f t="shared" si="4"/>
        <v>0.81538125639944581</v>
      </c>
      <c r="AJ13" s="5"/>
      <c r="AK13" s="5"/>
      <c r="AL13" s="5"/>
      <c r="AM13" s="5"/>
      <c r="AN13" s="5"/>
      <c r="AO13" s="5"/>
      <c r="AP13" s="5"/>
      <c r="AQ13" s="5"/>
      <c r="AR13" s="5"/>
      <c r="AS13" s="5"/>
      <c r="AT13" s="5"/>
      <c r="AU13" s="5"/>
      <c r="AV13" s="5"/>
      <c r="AW13" s="5"/>
      <c r="AX13" s="5"/>
      <c r="AY13" s="5"/>
      <c r="AZ13" s="6"/>
      <c r="BA13" s="6"/>
      <c r="BB13" s="6"/>
      <c r="BC13" s="6"/>
      <c r="BD13" s="6"/>
      <c r="BE13" s="6"/>
      <c r="BF13" s="6"/>
      <c r="BG13" s="6"/>
      <c r="BH13" s="6"/>
      <c r="BI13" s="6"/>
      <c r="BJ13" s="6"/>
      <c r="BK13" s="6"/>
      <c r="BL13" s="6"/>
      <c r="BM13" s="6"/>
      <c r="BN13" s="7"/>
      <c r="BO13" s="7"/>
      <c r="BP13" s="7"/>
      <c r="BQ13" s="7"/>
      <c r="BR13" s="8"/>
      <c r="BS13" s="8"/>
      <c r="CB13" s="9"/>
      <c r="CC13" s="9"/>
      <c r="CD13" s="9"/>
      <c r="CE13" s="9"/>
    </row>
    <row r="14" spans="1:83">
      <c r="B14" s="30" t="s">
        <v>267</v>
      </c>
      <c r="C14" s="192">
        <v>204610.728455459</v>
      </c>
      <c r="D14" s="191"/>
      <c r="E14" s="191"/>
      <c r="F14" s="191"/>
      <c r="G14" s="190">
        <v>1.2870520591030221</v>
      </c>
      <c r="H14" s="193">
        <v>39326.084018085101</v>
      </c>
      <c r="I14" s="191">
        <f t="shared" ref="I14:I77" si="5">H14/C14*100</f>
        <v>19.219952108545403</v>
      </c>
      <c r="J14" s="192">
        <v>132510.86199065301</v>
      </c>
      <c r="K14" s="191">
        <f t="shared" ref="K14:K77" si="6">J14/C14*100</f>
        <v>64.762421301627313</v>
      </c>
      <c r="L14" s="193">
        <v>17470.476419051502</v>
      </c>
      <c r="M14" s="191">
        <f t="shared" ref="M14:M77" si="7">L14/C14*100</f>
        <v>8.5383970581262005</v>
      </c>
      <c r="N14" s="193">
        <v>14576.3115534512</v>
      </c>
      <c r="O14" s="191">
        <f t="shared" ref="O14:O77" si="8">N14/C14*100</f>
        <v>7.1239233951626666</v>
      </c>
      <c r="P14" s="184">
        <v>3.7149450463488165</v>
      </c>
      <c r="Q14" s="3"/>
      <c r="R14" s="3"/>
      <c r="S14" s="189">
        <v>24.55</v>
      </c>
      <c r="T14" s="186">
        <v>1.00285</v>
      </c>
      <c r="U14" s="194">
        <v>207745</v>
      </c>
      <c r="V14" s="195">
        <v>-4314.856709294535</v>
      </c>
      <c r="W14" s="195">
        <f t="shared" ref="W14:W77" si="9">V14/U14*100</f>
        <v>-2.0769966590264675</v>
      </c>
      <c r="X14" s="195">
        <v>21.296415920000001</v>
      </c>
      <c r="Y14" s="195">
        <f t="shared" ref="Y14:Y77" si="10">X14/U14*100</f>
        <v>1.0251229112614023E-2</v>
      </c>
      <c r="Z14" s="195">
        <v>-4084.667591944999</v>
      </c>
      <c r="AA14" s="195">
        <f t="shared" ref="AA14:AA77" si="11">Z14/U14*100</f>
        <v>-1.9661929730896046</v>
      </c>
      <c r="AB14" s="195">
        <v>208.89270142953578</v>
      </c>
      <c r="AC14" s="195">
        <f t="shared" ref="AC14:AC77" si="12">AB14/U14*100</f>
        <v>0.10055245682424885</v>
      </c>
      <c r="AD14" s="194">
        <v>59997</v>
      </c>
      <c r="AE14" s="195">
        <v>7.5088327061058626</v>
      </c>
      <c r="AF14" s="195"/>
      <c r="AG14" s="195"/>
      <c r="AH14" s="194">
        <v>3731.3710000000001</v>
      </c>
      <c r="AI14" s="195">
        <f t="shared" si="4"/>
        <v>1.796130352114371</v>
      </c>
      <c r="AJ14" s="5"/>
      <c r="AK14" s="5"/>
      <c r="AL14" s="5"/>
      <c r="AM14" s="5"/>
      <c r="AN14" s="5"/>
      <c r="AO14" s="5"/>
      <c r="AP14" s="5"/>
      <c r="AQ14" s="5"/>
      <c r="AR14" s="5"/>
      <c r="AS14" s="5"/>
      <c r="AT14" s="5"/>
      <c r="AU14" s="5"/>
      <c r="AV14" s="5"/>
      <c r="AW14" s="5"/>
      <c r="AX14" s="5"/>
      <c r="AY14" s="5"/>
      <c r="AZ14" s="6"/>
      <c r="BA14" s="6"/>
      <c r="BB14" s="6"/>
      <c r="BC14" s="6"/>
      <c r="BD14" s="6"/>
      <c r="BE14" s="6"/>
      <c r="BF14" s="6"/>
      <c r="BG14" s="6"/>
      <c r="BH14" s="6"/>
      <c r="BI14" s="6"/>
      <c r="BJ14" s="6"/>
      <c r="BK14" s="6"/>
      <c r="BL14" s="6"/>
      <c r="BM14" s="6"/>
      <c r="BN14" s="7"/>
      <c r="BO14" s="7"/>
      <c r="BP14" s="7"/>
      <c r="BQ14" s="7"/>
      <c r="BR14" s="8"/>
      <c r="BS14" s="8"/>
      <c r="CB14" s="9"/>
      <c r="CC14" s="9"/>
      <c r="CD14" s="9"/>
      <c r="CE14" s="9"/>
    </row>
    <row r="15" spans="1:83">
      <c r="B15" s="30" t="s">
        <v>268</v>
      </c>
      <c r="C15" s="192">
        <v>221513.23437499799</v>
      </c>
      <c r="D15" s="191"/>
      <c r="E15" s="191"/>
      <c r="F15" s="191"/>
      <c r="G15" s="190">
        <v>3.4533083624813443</v>
      </c>
      <c r="H15" s="193">
        <v>41417.571128637799</v>
      </c>
      <c r="I15" s="191">
        <f t="shared" si="5"/>
        <v>18.69756055230647</v>
      </c>
      <c r="J15" s="192">
        <v>142658.329877749</v>
      </c>
      <c r="K15" s="191">
        <f t="shared" si="6"/>
        <v>64.401718606231825</v>
      </c>
      <c r="L15" s="193">
        <v>20927.580401059698</v>
      </c>
      <c r="M15" s="191">
        <f t="shared" si="7"/>
        <v>9.447553081921761</v>
      </c>
      <c r="N15" s="193">
        <v>15560.4751805381</v>
      </c>
      <c r="O15" s="191">
        <f t="shared" si="8"/>
        <v>7.0246255147879317</v>
      </c>
      <c r="P15" s="184">
        <v>1.7075966934170168</v>
      </c>
      <c r="Q15" s="3"/>
      <c r="R15" s="3"/>
      <c r="S15" s="189">
        <v>23.45</v>
      </c>
      <c r="T15" s="186">
        <v>1.0202500000000001</v>
      </c>
      <c r="U15" s="194">
        <v>224469</v>
      </c>
      <c r="V15" s="195">
        <v>-5863.0107728989788</v>
      </c>
      <c r="W15" s="195">
        <f t="shared" si="9"/>
        <v>-2.6119467600866839</v>
      </c>
      <c r="X15" s="195">
        <v>5.9151599000000008</v>
      </c>
      <c r="Y15" s="195">
        <f t="shared" si="10"/>
        <v>2.6351789779435024E-3</v>
      </c>
      <c r="Z15" s="195">
        <v>-5766.279879275</v>
      </c>
      <c r="AA15" s="195">
        <f t="shared" si="11"/>
        <v>-2.568853551837893</v>
      </c>
      <c r="AB15" s="195">
        <v>90.815733723977871</v>
      </c>
      <c r="AC15" s="195">
        <f t="shared" si="12"/>
        <v>4.0458029270847143E-2</v>
      </c>
      <c r="AD15" s="194">
        <v>58775</v>
      </c>
      <c r="AE15" s="195">
        <v>7.1181510125880161</v>
      </c>
      <c r="AF15" s="195"/>
      <c r="AG15" s="195"/>
      <c r="AH15" s="194">
        <v>1472.075</v>
      </c>
      <c r="AI15" s="195">
        <f t="shared" si="4"/>
        <v>0.65580325122845473</v>
      </c>
      <c r="AJ15" s="5"/>
      <c r="AK15" s="5"/>
      <c r="AL15" s="5"/>
      <c r="AM15" s="5"/>
      <c r="AN15" s="5"/>
      <c r="AO15" s="5"/>
      <c r="AP15" s="5"/>
      <c r="AQ15" s="5"/>
      <c r="AR15" s="5"/>
      <c r="AS15" s="5"/>
      <c r="AT15" s="5"/>
      <c r="AU15" s="5"/>
      <c r="AV15" s="5"/>
      <c r="AW15" s="5"/>
      <c r="AX15" s="5"/>
      <c r="AY15" s="5"/>
      <c r="AZ15" s="6"/>
      <c r="BA15" s="6"/>
      <c r="BB15" s="6"/>
      <c r="BC15" s="6"/>
      <c r="BD15" s="6"/>
      <c r="BE15" s="6"/>
      <c r="BF15" s="6"/>
      <c r="BG15" s="6"/>
      <c r="BH15" s="6"/>
      <c r="BI15" s="6"/>
      <c r="BJ15" s="6"/>
      <c r="BK15" s="6"/>
      <c r="BL15" s="6"/>
      <c r="BM15" s="6"/>
      <c r="BN15" s="7"/>
      <c r="BO15" s="7"/>
      <c r="BP15" s="7"/>
      <c r="BQ15" s="7"/>
      <c r="BR15" s="8"/>
      <c r="BS15" s="8"/>
      <c r="CB15" s="9"/>
      <c r="CC15" s="9"/>
      <c r="CD15" s="9"/>
      <c r="CE15" s="9"/>
    </row>
    <row r="16" spans="1:83">
      <c r="B16" s="30" t="s">
        <v>269</v>
      </c>
      <c r="C16" s="192">
        <v>239316.34583421901</v>
      </c>
      <c r="D16" s="191"/>
      <c r="E16" s="191"/>
      <c r="F16" s="191"/>
      <c r="G16" s="190">
        <v>-0.73454350800455925</v>
      </c>
      <c r="H16" s="193">
        <v>43186.71401666</v>
      </c>
      <c r="I16" s="191">
        <f t="shared" si="5"/>
        <v>18.045868896300387</v>
      </c>
      <c r="J16" s="192">
        <v>156087.49891516101</v>
      </c>
      <c r="K16" s="191">
        <f t="shared" si="6"/>
        <v>65.222247302441716</v>
      </c>
      <c r="L16" s="193">
        <v>22949.09994176</v>
      </c>
      <c r="M16" s="191">
        <f t="shared" si="7"/>
        <v>9.5894410646138937</v>
      </c>
      <c r="N16" s="193">
        <v>15084.715220001701</v>
      </c>
      <c r="O16" s="191">
        <f t="shared" si="8"/>
        <v>6.3032531971097772</v>
      </c>
      <c r="P16" s="184">
        <v>1.0945657332700449</v>
      </c>
      <c r="Q16" s="3"/>
      <c r="R16" s="3"/>
      <c r="S16" s="189">
        <v>22.27</v>
      </c>
      <c r="T16" s="186">
        <v>1.0391600000000001</v>
      </c>
      <c r="U16" s="194">
        <v>219568</v>
      </c>
      <c r="V16" s="195">
        <v>-10140.253948564376</v>
      </c>
      <c r="W16" s="195">
        <f t="shared" si="9"/>
        <v>-4.6182749528913023</v>
      </c>
      <c r="X16" s="195">
        <v>17.15752621</v>
      </c>
      <c r="Y16" s="195">
        <f t="shared" si="10"/>
        <v>7.8142198362238582E-3</v>
      </c>
      <c r="Z16" s="195">
        <v>-11008.847128240001</v>
      </c>
      <c r="AA16" s="195">
        <f t="shared" si="11"/>
        <v>-5.0138668331633021</v>
      </c>
      <c r="AB16" s="195">
        <v>-885.75070588562448</v>
      </c>
      <c r="AC16" s="195">
        <f t="shared" si="12"/>
        <v>-0.40340610010822359</v>
      </c>
      <c r="AD16" s="194">
        <v>60110</v>
      </c>
      <c r="AE16" s="195">
        <v>7.0633053589935821</v>
      </c>
      <c r="AF16" s="195"/>
      <c r="AG16" s="195"/>
      <c r="AH16" s="194">
        <v>3963.7080000000001</v>
      </c>
      <c r="AI16" s="195">
        <f t="shared" si="4"/>
        <v>1.805230270349049</v>
      </c>
      <c r="AJ16" s="5"/>
      <c r="AK16" s="5"/>
      <c r="AL16" s="5"/>
      <c r="AM16" s="5"/>
      <c r="AN16" s="5"/>
      <c r="AO16" s="5"/>
      <c r="AP16" s="5"/>
      <c r="AQ16" s="5"/>
      <c r="AR16" s="5"/>
      <c r="AS16" s="5"/>
      <c r="AT16" s="5"/>
      <c r="AU16" s="5"/>
      <c r="AV16" s="5"/>
      <c r="AW16" s="5"/>
      <c r="AX16" s="5"/>
      <c r="AY16" s="5"/>
      <c r="AZ16" s="6"/>
      <c r="BA16" s="6"/>
      <c r="BB16" s="6"/>
      <c r="BC16" s="6"/>
      <c r="BD16" s="6"/>
      <c r="BE16" s="6"/>
      <c r="BF16" s="6"/>
      <c r="BG16" s="6"/>
      <c r="BH16" s="6"/>
      <c r="BI16" s="6"/>
      <c r="BJ16" s="6"/>
      <c r="BK16" s="6"/>
      <c r="BL16" s="6"/>
      <c r="BM16" s="6"/>
      <c r="BN16" s="7"/>
      <c r="BO16" s="7"/>
      <c r="BP16" s="7"/>
      <c r="BQ16" s="7"/>
      <c r="BR16" s="8"/>
      <c r="BS16" s="8"/>
      <c r="CB16" s="9"/>
      <c r="CC16" s="9"/>
      <c r="CD16" s="9"/>
      <c r="CE16" s="9"/>
    </row>
    <row r="17" spans="2:83">
      <c r="B17" s="30" t="s">
        <v>262</v>
      </c>
      <c r="C17" s="192">
        <v>219117.04938243199</v>
      </c>
      <c r="D17" s="191"/>
      <c r="E17" s="191"/>
      <c r="F17" s="191"/>
      <c r="G17" s="190">
        <v>1.0080694709946991</v>
      </c>
      <c r="H17" s="193">
        <v>42696.634956251197</v>
      </c>
      <c r="I17" s="191">
        <f t="shared" si="5"/>
        <v>19.485765747845296</v>
      </c>
      <c r="J17" s="192">
        <v>147807.94462590301</v>
      </c>
      <c r="K17" s="191">
        <f t="shared" si="6"/>
        <v>67.45615872543496</v>
      </c>
      <c r="L17" s="193">
        <v>19333.246217087799</v>
      </c>
      <c r="M17" s="191">
        <f t="shared" si="7"/>
        <v>8.8232505282347375</v>
      </c>
      <c r="N17" s="193">
        <v>13162.000818774501</v>
      </c>
      <c r="O17" s="191">
        <f t="shared" si="8"/>
        <v>6.0068355501640767</v>
      </c>
      <c r="P17" s="184">
        <v>2.2050409318975426</v>
      </c>
      <c r="Q17" s="3"/>
      <c r="R17" s="3"/>
      <c r="S17" s="189">
        <v>21.25</v>
      </c>
      <c r="T17" s="186">
        <v>1.05972</v>
      </c>
      <c r="U17" s="194">
        <v>208043</v>
      </c>
      <c r="V17" s="195">
        <v>-4994.6999189153648</v>
      </c>
      <c r="W17" s="195">
        <f t="shared" si="9"/>
        <v>-2.4008017183540735</v>
      </c>
      <c r="X17" s="195">
        <v>2.7593971399999995</v>
      </c>
      <c r="Y17" s="195">
        <f t="shared" si="10"/>
        <v>1.3263590411597599E-3</v>
      </c>
      <c r="Z17" s="195">
        <v>-5836.219778168821</v>
      </c>
      <c r="AA17" s="195">
        <f t="shared" si="11"/>
        <v>-2.8052949525669315</v>
      </c>
      <c r="AB17" s="195">
        <v>-844.27925639345563</v>
      </c>
      <c r="AC17" s="195">
        <f t="shared" si="12"/>
        <v>-0.40581959325401751</v>
      </c>
      <c r="AD17" s="194">
        <v>58980</v>
      </c>
      <c r="AE17" s="195">
        <v>6.8595353705695929</v>
      </c>
      <c r="AF17" s="195"/>
      <c r="AG17" s="195"/>
      <c r="AH17" s="194">
        <v>3019.1587950614694</v>
      </c>
      <c r="AI17" s="195">
        <f t="shared" si="4"/>
        <v>1.4512186399261062</v>
      </c>
      <c r="AJ17" s="5"/>
      <c r="AK17" s="5"/>
      <c r="AL17" s="5"/>
      <c r="AM17" s="5"/>
      <c r="AN17" s="5"/>
      <c r="AO17" s="5"/>
      <c r="AP17" s="5"/>
      <c r="AQ17" s="5"/>
      <c r="AR17" s="5"/>
      <c r="AS17" s="5"/>
      <c r="AT17" s="5"/>
      <c r="AU17" s="5"/>
      <c r="AV17" s="5"/>
      <c r="AW17" s="5"/>
      <c r="AX17" s="5"/>
      <c r="AY17" s="5"/>
      <c r="AZ17" s="6"/>
      <c r="BA17" s="6"/>
      <c r="BB17" s="6"/>
      <c r="BC17" s="6"/>
      <c r="BD17" s="6"/>
      <c r="BE17" s="6"/>
      <c r="BF17" s="6"/>
      <c r="BG17" s="6"/>
      <c r="BH17" s="6"/>
      <c r="BI17" s="6"/>
      <c r="BJ17" s="6"/>
      <c r="BK17" s="6"/>
      <c r="BL17" s="6"/>
      <c r="BM17" s="6"/>
      <c r="BN17" s="7"/>
      <c r="BO17" s="7"/>
      <c r="BP17" s="7"/>
      <c r="BQ17" s="7"/>
      <c r="BR17" s="8"/>
      <c r="BS17" s="8"/>
      <c r="CB17" s="9"/>
      <c r="CC17" s="9"/>
      <c r="CD17" s="9"/>
      <c r="CE17" s="9"/>
    </row>
    <row r="18" spans="2:83">
      <c r="B18" s="30" t="s">
        <v>263</v>
      </c>
      <c r="C18" s="192">
        <v>232889.54419814001</v>
      </c>
      <c r="D18" s="191"/>
      <c r="E18" s="191"/>
      <c r="F18" s="191"/>
      <c r="G18" s="190">
        <v>0.54071695230082373</v>
      </c>
      <c r="H18" s="193">
        <v>46189.457864415199</v>
      </c>
      <c r="I18" s="191">
        <f t="shared" si="5"/>
        <v>19.833203771963969</v>
      </c>
      <c r="J18" s="192">
        <v>154446.529400787</v>
      </c>
      <c r="K18" s="191">
        <f t="shared" si="6"/>
        <v>66.317502545062951</v>
      </c>
      <c r="L18" s="193">
        <v>22570.113588508098</v>
      </c>
      <c r="M18" s="191">
        <f t="shared" si="7"/>
        <v>9.6913382978265776</v>
      </c>
      <c r="N18" s="193">
        <v>17401.764342269002</v>
      </c>
      <c r="O18" s="191">
        <f t="shared" si="8"/>
        <v>7.4721106102830284</v>
      </c>
      <c r="P18" s="184">
        <v>1.8402354123304434</v>
      </c>
      <c r="Q18" s="3"/>
      <c r="R18" s="3"/>
      <c r="S18" s="189">
        <v>20.12</v>
      </c>
      <c r="T18" s="186">
        <v>1.0764200000000002</v>
      </c>
      <c r="U18" s="194">
        <v>218405</v>
      </c>
      <c r="V18" s="195">
        <v>-8235.7259945483765</v>
      </c>
      <c r="W18" s="195">
        <f t="shared" si="9"/>
        <v>-3.7708504816961046</v>
      </c>
      <c r="X18" s="195">
        <v>30.054631149999999</v>
      </c>
      <c r="Y18" s="195">
        <f t="shared" si="10"/>
        <v>1.3760962958723472E-2</v>
      </c>
      <c r="Z18" s="195">
        <v>-9155.7772661475537</v>
      </c>
      <c r="AA18" s="195">
        <f t="shared" si="11"/>
        <v>-4.1921097347348066</v>
      </c>
      <c r="AB18" s="195">
        <v>-950.10590274917786</v>
      </c>
      <c r="AC18" s="195">
        <f t="shared" si="12"/>
        <v>-0.4350202159974258</v>
      </c>
      <c r="AD18" s="194">
        <v>57615</v>
      </c>
      <c r="AE18" s="195">
        <v>6.6187240446417803</v>
      </c>
      <c r="AF18" s="195"/>
      <c r="AG18" s="195"/>
      <c r="AH18" s="194">
        <v>4768.6140045568118</v>
      </c>
      <c r="AI18" s="195">
        <f t="shared" si="4"/>
        <v>2.1833813349313487</v>
      </c>
      <c r="AJ18" s="5"/>
      <c r="AK18" s="5"/>
      <c r="AL18" s="5"/>
      <c r="AM18" s="5"/>
      <c r="AN18" s="5"/>
      <c r="AO18" s="5"/>
      <c r="AP18" s="5"/>
      <c r="AQ18" s="5"/>
      <c r="AR18" s="5"/>
      <c r="AS18" s="5"/>
      <c r="AT18" s="5"/>
      <c r="AU18" s="5"/>
      <c r="AV18" s="5"/>
      <c r="AW18" s="5"/>
      <c r="AX18" s="5"/>
      <c r="AY18" s="5"/>
      <c r="AZ18" s="6"/>
      <c r="BA18" s="6"/>
      <c r="BB18" s="6"/>
      <c r="BC18" s="6"/>
      <c r="BD18" s="6"/>
      <c r="BE18" s="6"/>
      <c r="BF18" s="6"/>
      <c r="BG18" s="6"/>
      <c r="BH18" s="6"/>
      <c r="BI18" s="6"/>
      <c r="BJ18" s="6"/>
      <c r="BK18" s="6"/>
      <c r="BL18" s="6"/>
      <c r="BM18" s="6"/>
      <c r="BN18" s="7"/>
      <c r="BO18" s="7"/>
      <c r="BP18" s="7"/>
      <c r="BQ18" s="7"/>
      <c r="BR18" s="8"/>
      <c r="BS18" s="8"/>
      <c r="CB18" s="9"/>
      <c r="CC18" s="9"/>
      <c r="CD18" s="9"/>
      <c r="CE18" s="9"/>
    </row>
    <row r="19" spans="2:83">
      <c r="B19" s="30" t="s">
        <v>264</v>
      </c>
      <c r="C19" s="192">
        <v>246178.48109675301</v>
      </c>
      <c r="D19" s="191"/>
      <c r="E19" s="191"/>
      <c r="F19" s="191"/>
      <c r="G19" s="190">
        <v>1.0877810904480034</v>
      </c>
      <c r="H19" s="193">
        <v>47287.134029045803</v>
      </c>
      <c r="I19" s="191">
        <f t="shared" si="5"/>
        <v>19.208475825497121</v>
      </c>
      <c r="J19" s="192">
        <v>157597.812218876</v>
      </c>
      <c r="K19" s="191">
        <f t="shared" si="6"/>
        <v>64.017704356920191</v>
      </c>
      <c r="L19" s="193">
        <v>25171.209721374202</v>
      </c>
      <c r="M19" s="191">
        <f t="shared" si="7"/>
        <v>10.224780658826722</v>
      </c>
      <c r="N19" s="193">
        <v>18528.582860457402</v>
      </c>
      <c r="O19" s="191">
        <f t="shared" si="8"/>
        <v>7.5264835406857937</v>
      </c>
      <c r="P19" s="184">
        <v>0.26005327920842092</v>
      </c>
      <c r="Q19" s="3"/>
      <c r="R19" s="3"/>
      <c r="S19" s="189">
        <v>19.93</v>
      </c>
      <c r="T19" s="186">
        <v>1.0951999999999997</v>
      </c>
      <c r="U19" s="194">
        <v>229146</v>
      </c>
      <c r="V19" s="195">
        <v>-7659.8692927294342</v>
      </c>
      <c r="W19" s="195">
        <f t="shared" si="9"/>
        <v>-3.3427898775145253</v>
      </c>
      <c r="X19" s="195">
        <v>28.433882520000001</v>
      </c>
      <c r="Y19" s="195">
        <f t="shared" si="10"/>
        <v>1.2408631405304914E-2</v>
      </c>
      <c r="Z19" s="195">
        <v>-5934.6340799488698</v>
      </c>
      <c r="AA19" s="195">
        <f t="shared" si="11"/>
        <v>-2.5898920687897102</v>
      </c>
      <c r="AB19" s="195">
        <v>1696.8013302605639</v>
      </c>
      <c r="AC19" s="195">
        <f t="shared" si="12"/>
        <v>0.74048917731950981</v>
      </c>
      <c r="AD19" s="194">
        <v>61931</v>
      </c>
      <c r="AE19" s="195">
        <v>7.0765184045925213</v>
      </c>
      <c r="AF19" s="195"/>
      <c r="AG19" s="195"/>
      <c r="AH19" s="194">
        <v>4836.8813131959469</v>
      </c>
      <c r="AI19" s="195">
        <f t="shared" si="4"/>
        <v>2.1108294769256051</v>
      </c>
      <c r="AJ19" s="5"/>
      <c r="AK19" s="5"/>
      <c r="AL19" s="5"/>
      <c r="AM19" s="5"/>
      <c r="AN19" s="5"/>
      <c r="AO19" s="5"/>
      <c r="AP19" s="5"/>
      <c r="AQ19" s="5"/>
      <c r="AR19" s="5"/>
      <c r="AS19" s="5"/>
      <c r="AT19" s="5"/>
      <c r="AU19" s="5"/>
      <c r="AV19" s="5"/>
      <c r="AW19" s="5"/>
      <c r="AX19" s="5"/>
      <c r="AY19" s="5"/>
      <c r="AZ19" s="6"/>
      <c r="BA19" s="6"/>
      <c r="BB19" s="6"/>
      <c r="BC19" s="6"/>
      <c r="BD19" s="6"/>
      <c r="BE19" s="6"/>
      <c r="BF19" s="6"/>
      <c r="BG19" s="6"/>
      <c r="BH19" s="6"/>
      <c r="BI19" s="6"/>
      <c r="BJ19" s="6"/>
      <c r="BK19" s="6"/>
      <c r="BL19" s="6"/>
      <c r="BM19" s="6"/>
      <c r="BN19" s="7"/>
      <c r="BO19" s="7"/>
      <c r="BP19" s="7"/>
      <c r="BQ19" s="7"/>
      <c r="BR19" s="8"/>
      <c r="BS19" s="8"/>
      <c r="CB19" s="9"/>
      <c r="CC19" s="9"/>
      <c r="CD19" s="9"/>
      <c r="CE19" s="9"/>
    </row>
    <row r="20" spans="2:83">
      <c r="B20" s="30" t="s">
        <v>265</v>
      </c>
      <c r="C20" s="192">
        <v>253904.121411486</v>
      </c>
      <c r="D20" s="191"/>
      <c r="E20" s="191"/>
      <c r="F20" s="191"/>
      <c r="G20" s="190">
        <v>1.0307259404812585</v>
      </c>
      <c r="H20" s="193">
        <v>45893.848726554803</v>
      </c>
      <c r="I20" s="191">
        <f t="shared" si="5"/>
        <v>18.075267337696189</v>
      </c>
      <c r="J20" s="192">
        <v>161953.64206206301</v>
      </c>
      <c r="K20" s="191">
        <f t="shared" si="6"/>
        <v>63.785353763358252</v>
      </c>
      <c r="L20" s="193">
        <v>24255.154872288898</v>
      </c>
      <c r="M20" s="191">
        <f t="shared" si="7"/>
        <v>9.5528795426601736</v>
      </c>
      <c r="N20" s="193">
        <v>17398.225096545499</v>
      </c>
      <c r="O20" s="191">
        <f t="shared" si="8"/>
        <v>6.8522814831939343</v>
      </c>
      <c r="P20" s="184">
        <v>0.83155845160020192</v>
      </c>
      <c r="Q20" s="3"/>
      <c r="R20" s="3"/>
      <c r="S20" s="189">
        <v>34.619999999999997</v>
      </c>
      <c r="T20" s="186">
        <v>1.1152000000000002</v>
      </c>
      <c r="U20" s="194">
        <v>227687</v>
      </c>
      <c r="V20" s="195">
        <v>-11243.067608098729</v>
      </c>
      <c r="W20" s="195">
        <f t="shared" si="9"/>
        <v>-4.9379488543916557</v>
      </c>
      <c r="X20" s="195">
        <v>22.735102250000004</v>
      </c>
      <c r="Y20" s="195">
        <f t="shared" si="10"/>
        <v>9.9852438874419719E-3</v>
      </c>
      <c r="Z20" s="195">
        <v>-11576.290887054649</v>
      </c>
      <c r="AA20" s="195">
        <f t="shared" si="11"/>
        <v>-5.0843003276667744</v>
      </c>
      <c r="AB20" s="195">
        <v>-355.95838120592208</v>
      </c>
      <c r="AC20" s="195">
        <f t="shared" si="12"/>
        <v>-0.15633671716256181</v>
      </c>
      <c r="AD20" s="194">
        <v>52173</v>
      </c>
      <c r="AE20" s="195">
        <v>5.9067273042214197</v>
      </c>
      <c r="AF20" s="195"/>
      <c r="AG20" s="195"/>
      <c r="AH20" s="194">
        <v>6368.2801978325697</v>
      </c>
      <c r="AI20" s="195">
        <f t="shared" si="4"/>
        <v>2.7969450156717643</v>
      </c>
      <c r="AJ20" s="5"/>
      <c r="AK20" s="5"/>
      <c r="AL20" s="5"/>
      <c r="AM20" s="5"/>
      <c r="AN20" s="5"/>
      <c r="AO20" s="5"/>
      <c r="AP20" s="5"/>
      <c r="AQ20" s="5"/>
      <c r="AR20" s="5"/>
      <c r="AS20" s="5"/>
      <c r="AT20" s="5"/>
      <c r="AU20" s="5"/>
      <c r="AV20" s="5"/>
      <c r="AW20" s="5"/>
      <c r="AX20" s="5"/>
      <c r="AY20" s="5"/>
      <c r="AZ20" s="6"/>
      <c r="BA20" s="6"/>
      <c r="BB20" s="6"/>
      <c r="BC20" s="6"/>
      <c r="BD20" s="6"/>
      <c r="BE20" s="6"/>
      <c r="BF20" s="6"/>
      <c r="BG20" s="6"/>
      <c r="BH20" s="6"/>
      <c r="BI20" s="6"/>
      <c r="BJ20" s="6"/>
      <c r="BK20" s="6"/>
      <c r="BL20" s="6"/>
      <c r="BM20" s="6"/>
      <c r="BN20" s="7"/>
      <c r="BO20" s="7"/>
      <c r="BP20" s="7"/>
      <c r="BQ20" s="7"/>
      <c r="BR20" s="8"/>
      <c r="BS20" s="8"/>
      <c r="CB20" s="9"/>
      <c r="CC20" s="9"/>
      <c r="CD20" s="9"/>
      <c r="CE20" s="9"/>
    </row>
    <row r="21" spans="2:83">
      <c r="B21" s="30" t="s">
        <v>258</v>
      </c>
      <c r="C21" s="192">
        <v>235700.701907326</v>
      </c>
      <c r="D21" s="191"/>
      <c r="E21" s="191"/>
      <c r="F21" s="191"/>
      <c r="G21" s="190">
        <v>-1.9946133674224154</v>
      </c>
      <c r="H21" s="193">
        <v>45594.776960241797</v>
      </c>
      <c r="I21" s="191">
        <f t="shared" si="5"/>
        <v>19.344353492069356</v>
      </c>
      <c r="J21" s="192">
        <v>157102.91027367601</v>
      </c>
      <c r="K21" s="191">
        <f t="shared" si="6"/>
        <v>66.653560639563352</v>
      </c>
      <c r="L21" s="193">
        <v>21714.344068676099</v>
      </c>
      <c r="M21" s="191">
        <f t="shared" si="7"/>
        <v>9.2126768791778382</v>
      </c>
      <c r="N21" s="193">
        <v>16098.854683637501</v>
      </c>
      <c r="O21" s="191">
        <f t="shared" si="8"/>
        <v>6.8302107517555593</v>
      </c>
      <c r="P21" s="184">
        <v>1.5169471438729545</v>
      </c>
      <c r="Q21" s="3"/>
      <c r="R21" s="3"/>
      <c r="S21" s="189">
        <v>24.5</v>
      </c>
      <c r="T21" s="186">
        <v>1.1355600000000001</v>
      </c>
      <c r="U21" s="194">
        <v>204708</v>
      </c>
      <c r="V21" s="195">
        <v>-6475.7718298539285</v>
      </c>
      <c r="W21" s="195">
        <f t="shared" si="9"/>
        <v>-3.1634190309386683</v>
      </c>
      <c r="X21" s="195">
        <v>8.7301072499999997</v>
      </c>
      <c r="Y21" s="195">
        <f t="shared" si="10"/>
        <v>4.2646634474470951E-3</v>
      </c>
      <c r="Z21" s="195">
        <v>-6855.6390312219855</v>
      </c>
      <c r="AA21" s="195">
        <f t="shared" si="11"/>
        <v>-3.3489844223098197</v>
      </c>
      <c r="AB21" s="195">
        <v>-388.59730861805713</v>
      </c>
      <c r="AC21" s="195">
        <f t="shared" si="12"/>
        <v>-0.18983005481859874</v>
      </c>
      <c r="AD21" s="194">
        <v>68594</v>
      </c>
      <c r="AE21" s="195">
        <v>7.795251072224886</v>
      </c>
      <c r="AF21" s="195"/>
      <c r="AG21" s="195"/>
      <c r="AH21" s="194">
        <v>3958.8819693</v>
      </c>
      <c r="AI21" s="195">
        <f t="shared" si="4"/>
        <v>1.9339165881646054</v>
      </c>
      <c r="AJ21" s="5"/>
      <c r="AK21" s="5"/>
      <c r="AL21" s="5"/>
      <c r="AM21" s="5"/>
      <c r="AN21" s="5"/>
      <c r="AO21" s="5"/>
      <c r="AP21" s="5"/>
      <c r="AQ21" s="5"/>
      <c r="AR21" s="5"/>
      <c r="AS21" s="5"/>
      <c r="AT21" s="5"/>
      <c r="AU21" s="5"/>
      <c r="AV21" s="5"/>
      <c r="AW21" s="5"/>
      <c r="AX21" s="5"/>
      <c r="AY21" s="5"/>
      <c r="AZ21" s="6"/>
      <c r="BA21" s="6"/>
      <c r="BB21" s="6"/>
      <c r="BC21" s="6"/>
      <c r="BD21" s="6"/>
      <c r="BE21" s="6"/>
      <c r="BF21" s="6"/>
      <c r="BG21" s="6"/>
      <c r="BH21" s="6"/>
      <c r="BI21" s="6"/>
      <c r="BJ21" s="6"/>
      <c r="BK21" s="6"/>
      <c r="BL21" s="6"/>
      <c r="BM21" s="6"/>
      <c r="BN21" s="7"/>
      <c r="BO21" s="7"/>
      <c r="BP21" s="7"/>
      <c r="BQ21" s="7"/>
      <c r="BR21" s="8"/>
      <c r="BS21" s="8"/>
      <c r="CB21" s="9"/>
      <c r="CC21" s="9"/>
      <c r="CD21" s="9"/>
      <c r="CE21" s="9"/>
    </row>
    <row r="22" spans="2:83">
      <c r="B22" s="30" t="s">
        <v>259</v>
      </c>
      <c r="C22" s="192">
        <v>251935.878971094</v>
      </c>
      <c r="D22" s="191"/>
      <c r="E22" s="191"/>
      <c r="F22" s="191"/>
      <c r="G22" s="190">
        <v>1.6450158408395366</v>
      </c>
      <c r="H22" s="193">
        <v>48379.306747027702</v>
      </c>
      <c r="I22" s="191">
        <f t="shared" si="5"/>
        <v>19.203023779149188</v>
      </c>
      <c r="J22" s="192">
        <v>159193.94315707899</v>
      </c>
      <c r="K22" s="191">
        <f t="shared" si="6"/>
        <v>63.188277829750561</v>
      </c>
      <c r="L22" s="193">
        <v>22895.701123651601</v>
      </c>
      <c r="M22" s="191">
        <f t="shared" si="7"/>
        <v>9.0879080888191197</v>
      </c>
      <c r="N22" s="193">
        <v>18804.595297616001</v>
      </c>
      <c r="O22" s="191">
        <f t="shared" si="8"/>
        <v>7.4640402051561523</v>
      </c>
      <c r="P22" s="184">
        <v>0.76087404375712708</v>
      </c>
      <c r="Q22" s="3"/>
      <c r="R22" s="3"/>
      <c r="S22" s="189">
        <v>21.04</v>
      </c>
      <c r="T22" s="186">
        <v>1.1559999999999999</v>
      </c>
      <c r="U22" s="194">
        <v>216187</v>
      </c>
      <c r="V22" s="195">
        <v>-7731.2546409979641</v>
      </c>
      <c r="W22" s="195">
        <f t="shared" si="9"/>
        <v>-3.5761885039331522</v>
      </c>
      <c r="X22" s="195">
        <v>26.530833899999998</v>
      </c>
      <c r="Y22" s="195">
        <f t="shared" si="10"/>
        <v>1.2272168955580122E-2</v>
      </c>
      <c r="Z22" s="195">
        <v>-10856.78018362504</v>
      </c>
      <c r="AA22" s="195">
        <f t="shared" si="11"/>
        <v>-5.0219394244913156</v>
      </c>
      <c r="AB22" s="195">
        <v>-3152.0563765270781</v>
      </c>
      <c r="AC22" s="195">
        <f t="shared" si="12"/>
        <v>-1.458023089513744</v>
      </c>
      <c r="AD22" s="194">
        <v>70898</v>
      </c>
      <c r="AE22" s="195">
        <v>8.0774454044988886</v>
      </c>
      <c r="AF22" s="195"/>
      <c r="AG22" s="195"/>
      <c r="AH22" s="194">
        <v>6295.0628510200004</v>
      </c>
      <c r="AI22" s="195">
        <f t="shared" si="4"/>
        <v>2.9118600336838019</v>
      </c>
      <c r="AJ22" s="5"/>
      <c r="AK22" s="5"/>
      <c r="AL22" s="5"/>
      <c r="AM22" s="5"/>
      <c r="AN22" s="5"/>
      <c r="AO22" s="5"/>
      <c r="AP22" s="5"/>
      <c r="AQ22" s="5"/>
      <c r="AR22" s="5"/>
      <c r="AS22" s="5"/>
      <c r="AT22" s="5"/>
      <c r="AU22" s="5"/>
      <c r="AV22" s="5"/>
      <c r="AW22" s="5"/>
      <c r="AX22" s="5"/>
      <c r="AY22" s="5"/>
      <c r="AZ22" s="6"/>
      <c r="BA22" s="6"/>
      <c r="BB22" s="6"/>
      <c r="BC22" s="6"/>
      <c r="BD22" s="6"/>
      <c r="BE22" s="6"/>
      <c r="BF22" s="6"/>
      <c r="BG22" s="6"/>
      <c r="BH22" s="6"/>
      <c r="BI22" s="6"/>
      <c r="BJ22" s="6"/>
      <c r="BK22" s="6"/>
      <c r="BL22" s="6"/>
      <c r="BM22" s="6"/>
      <c r="BN22" s="7"/>
      <c r="BO22" s="7"/>
      <c r="BP22" s="7"/>
      <c r="BQ22" s="7"/>
      <c r="BR22" s="8"/>
      <c r="BS22" s="8"/>
      <c r="CB22" s="9"/>
      <c r="CC22" s="9"/>
      <c r="CD22" s="9"/>
      <c r="CE22" s="9"/>
    </row>
    <row r="23" spans="2:83">
      <c r="B23" s="30" t="s">
        <v>260</v>
      </c>
      <c r="C23" s="192">
        <v>258043.28562577401</v>
      </c>
      <c r="D23" s="191"/>
      <c r="E23" s="191"/>
      <c r="F23" s="191"/>
      <c r="G23" s="190">
        <v>-8.6501020410145735E-2</v>
      </c>
      <c r="H23" s="193">
        <v>47636.032295500401</v>
      </c>
      <c r="I23" s="191">
        <f t="shared" si="5"/>
        <v>18.460481225070247</v>
      </c>
      <c r="J23" s="192">
        <v>163447.30979296201</v>
      </c>
      <c r="K23" s="191">
        <f t="shared" si="6"/>
        <v>63.34104349841548</v>
      </c>
      <c r="L23" s="193">
        <v>25366.179087282999</v>
      </c>
      <c r="M23" s="191">
        <f t="shared" si="7"/>
        <v>9.8302031094388447</v>
      </c>
      <c r="N23" s="193">
        <v>18785.813594897601</v>
      </c>
      <c r="O23" s="191">
        <f t="shared" si="8"/>
        <v>7.2801016888854972</v>
      </c>
      <c r="P23" s="184">
        <v>-0.84781571594083971</v>
      </c>
      <c r="Q23" s="3"/>
      <c r="R23" s="3"/>
      <c r="S23" s="189">
        <v>27.57</v>
      </c>
      <c r="T23" s="186">
        <v>1.1833100000000001</v>
      </c>
      <c r="U23" s="194">
        <v>224265</v>
      </c>
      <c r="V23" s="195">
        <v>-9080.6986895660193</v>
      </c>
      <c r="W23" s="195">
        <f t="shared" si="9"/>
        <v>-4.0490931217827208</v>
      </c>
      <c r="X23" s="195">
        <v>4.6231372399999993</v>
      </c>
      <c r="Y23" s="195">
        <f t="shared" si="10"/>
        <v>2.0614617706730875E-3</v>
      </c>
      <c r="Z23" s="195">
        <v>-8358.8135846837395</v>
      </c>
      <c r="AA23" s="195">
        <f t="shared" si="11"/>
        <v>-3.7272037922474479</v>
      </c>
      <c r="AB23" s="195">
        <v>717.26196764228064</v>
      </c>
      <c r="AC23" s="195">
        <f t="shared" si="12"/>
        <v>0.3198278677646002</v>
      </c>
      <c r="AD23" s="194">
        <v>45811</v>
      </c>
      <c r="AE23" s="195">
        <v>5.2484570606303276</v>
      </c>
      <c r="AF23" s="195"/>
      <c r="AG23" s="195"/>
      <c r="AH23" s="194">
        <v>9989.9027530000003</v>
      </c>
      <c r="AI23" s="195">
        <f t="shared" si="4"/>
        <v>4.4545081724745277</v>
      </c>
      <c r="AJ23" s="5"/>
      <c r="AK23" s="5"/>
      <c r="AL23" s="5"/>
      <c r="AM23" s="5"/>
      <c r="AN23" s="5"/>
      <c r="AO23" s="5"/>
      <c r="AP23" s="5"/>
      <c r="AQ23" s="5"/>
      <c r="AR23" s="5"/>
      <c r="AS23" s="5"/>
      <c r="AT23" s="5"/>
      <c r="AU23" s="5"/>
      <c r="AV23" s="5"/>
      <c r="AW23" s="5"/>
      <c r="AX23" s="5"/>
      <c r="AY23" s="5"/>
      <c r="AZ23" s="6"/>
      <c r="BA23" s="6"/>
      <c r="BB23" s="6"/>
      <c r="BC23" s="6"/>
      <c r="BD23" s="6"/>
      <c r="BE23" s="6"/>
      <c r="BF23" s="6"/>
      <c r="BG23" s="6"/>
      <c r="BH23" s="6"/>
      <c r="BI23" s="6"/>
      <c r="BJ23" s="6"/>
      <c r="BK23" s="6"/>
      <c r="BL23" s="6"/>
      <c r="BM23" s="6"/>
      <c r="BN23" s="7"/>
      <c r="BO23" s="7"/>
      <c r="BP23" s="7"/>
      <c r="BQ23" s="7"/>
      <c r="BR23" s="8"/>
      <c r="BS23" s="8"/>
      <c r="CB23" s="9"/>
      <c r="CC23" s="9"/>
      <c r="CD23" s="9"/>
      <c r="CE23" s="9"/>
    </row>
    <row r="24" spans="2:83">
      <c r="B24" s="30" t="s">
        <v>261</v>
      </c>
      <c r="C24" s="192">
        <v>256671.152709285</v>
      </c>
      <c r="D24" s="191"/>
      <c r="E24" s="191"/>
      <c r="F24" s="191"/>
      <c r="G24" s="190">
        <v>-1.0014588681974135</v>
      </c>
      <c r="H24" s="193">
        <v>44249.303166812198</v>
      </c>
      <c r="I24" s="191">
        <f t="shared" si="5"/>
        <v>17.239686930042563</v>
      </c>
      <c r="J24" s="192">
        <v>163186.842166516</v>
      </c>
      <c r="K24" s="191">
        <f t="shared" si="6"/>
        <v>63.578177930788861</v>
      </c>
      <c r="L24" s="193">
        <v>24325.8075324581</v>
      </c>
      <c r="M24" s="191">
        <f t="shared" si="7"/>
        <v>9.4774217030966419</v>
      </c>
      <c r="N24" s="193">
        <v>16781.028183936502</v>
      </c>
      <c r="O24" s="191">
        <f t="shared" si="8"/>
        <v>6.5379486579636392</v>
      </c>
      <c r="P24" s="184">
        <v>0.22957535432963994</v>
      </c>
      <c r="Q24" s="3"/>
      <c r="R24" s="3"/>
      <c r="S24" s="189">
        <v>26.27</v>
      </c>
      <c r="T24" s="186">
        <v>1.2077099999999998</v>
      </c>
      <c r="U24" s="194">
        <v>218712</v>
      </c>
      <c r="V24" s="195">
        <v>-11705.155114524776</v>
      </c>
      <c r="W24" s="195">
        <f t="shared" si="9"/>
        <v>-5.3518577464998609</v>
      </c>
      <c r="X24" s="195">
        <v>10.54242189</v>
      </c>
      <c r="Y24" s="195">
        <f t="shared" si="10"/>
        <v>4.8202302068473613E-3</v>
      </c>
      <c r="Z24" s="195">
        <v>-10771.165909849133</v>
      </c>
      <c r="AA24" s="195">
        <f t="shared" si="11"/>
        <v>-4.9248170698677409</v>
      </c>
      <c r="AB24" s="195">
        <v>923.4467827856422</v>
      </c>
      <c r="AC24" s="195">
        <f t="shared" si="12"/>
        <v>0.42222044642527257</v>
      </c>
      <c r="AD24" s="194">
        <v>44556</v>
      </c>
      <c r="AE24" s="195">
        <v>5.1577085494147283</v>
      </c>
      <c r="AF24" s="195"/>
      <c r="AG24" s="195"/>
      <c r="AH24" s="194">
        <v>8611.7623430999993</v>
      </c>
      <c r="AI24" s="195">
        <f t="shared" si="4"/>
        <v>3.937489640760452</v>
      </c>
      <c r="AJ24" s="5"/>
      <c r="AK24" s="5"/>
      <c r="AL24" s="5"/>
      <c r="AM24" s="5"/>
      <c r="AN24" s="5"/>
      <c r="AO24" s="5"/>
      <c r="AP24" s="5"/>
      <c r="AQ24" s="5"/>
      <c r="AR24" s="5"/>
      <c r="AS24" s="5"/>
      <c r="AT24" s="5"/>
      <c r="AU24" s="5"/>
      <c r="AV24" s="5"/>
      <c r="AW24" s="5"/>
      <c r="AX24" s="5"/>
      <c r="AY24" s="5"/>
      <c r="AZ24" s="6"/>
      <c r="BA24" s="6"/>
      <c r="BB24" s="6"/>
      <c r="BC24" s="6"/>
      <c r="BD24" s="6"/>
      <c r="BE24" s="6"/>
      <c r="BF24" s="6"/>
      <c r="BG24" s="6"/>
      <c r="BH24" s="6"/>
      <c r="BI24" s="6"/>
      <c r="BJ24" s="6"/>
      <c r="BK24" s="6"/>
      <c r="BL24" s="6"/>
      <c r="BM24" s="6"/>
      <c r="BN24" s="7"/>
      <c r="BO24" s="7"/>
      <c r="BP24" s="7"/>
      <c r="BQ24" s="7"/>
      <c r="BR24" s="8"/>
      <c r="BS24" s="8"/>
      <c r="CB24" s="9"/>
      <c r="CC24" s="9"/>
      <c r="CD24" s="9"/>
      <c r="CE24" s="9"/>
    </row>
    <row r="25" spans="2:83">
      <c r="B25" s="30" t="s">
        <v>254</v>
      </c>
      <c r="C25" s="192">
        <v>250667.993916028</v>
      </c>
      <c r="D25" s="191"/>
      <c r="E25" s="191"/>
      <c r="F25" s="191"/>
      <c r="G25" s="190">
        <v>0.14174719802928504</v>
      </c>
      <c r="H25" s="193">
        <v>44120.584176554301</v>
      </c>
      <c r="I25" s="191">
        <f t="shared" si="5"/>
        <v>17.601203682722407</v>
      </c>
      <c r="J25" s="192">
        <v>164892.67123278099</v>
      </c>
      <c r="K25" s="191">
        <f t="shared" si="6"/>
        <v>65.781302453802255</v>
      </c>
      <c r="L25" s="193">
        <v>25846.744067171701</v>
      </c>
      <c r="M25" s="191">
        <f t="shared" si="7"/>
        <v>10.311146494366639</v>
      </c>
      <c r="N25" s="193">
        <v>22153.373714190198</v>
      </c>
      <c r="O25" s="191">
        <f t="shared" si="8"/>
        <v>8.8377352721031546</v>
      </c>
      <c r="P25" s="184">
        <v>2.876834453435734</v>
      </c>
      <c r="Q25" s="189">
        <v>42</v>
      </c>
      <c r="R25" s="3"/>
      <c r="S25" s="189">
        <v>32.880000000000003</v>
      </c>
      <c r="T25" s="186">
        <v>1.8072100000000002</v>
      </c>
      <c r="U25" s="194">
        <v>141714</v>
      </c>
      <c r="V25" s="195">
        <v>-5841.7028431580466</v>
      </c>
      <c r="W25" s="195">
        <f t="shared" si="9"/>
        <v>-4.1221776558124441</v>
      </c>
      <c r="X25" s="195">
        <v>5.8240148400000002</v>
      </c>
      <c r="Y25" s="195">
        <f t="shared" si="10"/>
        <v>4.1096961768068083E-3</v>
      </c>
      <c r="Z25" s="195">
        <v>-5196.780276215336</v>
      </c>
      <c r="AA25" s="195">
        <f t="shared" si="11"/>
        <v>-3.6670902495274542</v>
      </c>
      <c r="AB25" s="195">
        <v>639.09855210271076</v>
      </c>
      <c r="AC25" s="195">
        <f t="shared" si="12"/>
        <v>0.45097771010818316</v>
      </c>
      <c r="AD25" s="194">
        <v>33848</v>
      </c>
      <c r="AE25" s="195">
        <v>4.2263615681789233</v>
      </c>
      <c r="AF25" s="195"/>
      <c r="AG25" s="195"/>
      <c r="AH25" s="194">
        <v>7599.0439999999999</v>
      </c>
      <c r="AI25" s="195">
        <f t="shared" si="4"/>
        <v>5.3622394399988709</v>
      </c>
      <c r="AJ25" s="5"/>
      <c r="AK25" s="5"/>
      <c r="AL25" s="5"/>
      <c r="AM25" s="5"/>
      <c r="AN25" s="5"/>
      <c r="AO25" s="5"/>
      <c r="AP25" s="5"/>
      <c r="AQ25" s="5"/>
      <c r="AR25" s="5"/>
      <c r="AS25" s="5"/>
      <c r="AT25" s="5"/>
      <c r="AU25" s="5"/>
      <c r="AV25" s="5"/>
      <c r="AW25" s="5"/>
      <c r="AX25" s="5"/>
      <c r="AY25" s="5"/>
      <c r="AZ25" s="6"/>
      <c r="BA25" s="6"/>
      <c r="BB25" s="6"/>
      <c r="BC25" s="6"/>
      <c r="BD25" s="6"/>
      <c r="BE25" s="6"/>
      <c r="BF25" s="6"/>
      <c r="BG25" s="6"/>
      <c r="BH25" s="6"/>
      <c r="BI25" s="6"/>
      <c r="BJ25" s="6"/>
      <c r="BK25" s="6"/>
      <c r="BL25" s="6"/>
      <c r="BM25" s="6"/>
      <c r="BN25" s="7"/>
      <c r="BO25" s="7"/>
      <c r="BP25" s="7"/>
      <c r="BQ25" s="7"/>
      <c r="BR25" s="8"/>
      <c r="BS25" s="8"/>
      <c r="CB25" s="9"/>
      <c r="CC25" s="9"/>
      <c r="CD25" s="9"/>
      <c r="CE25" s="9"/>
    </row>
    <row r="26" spans="2:83">
      <c r="B26" s="30" t="s">
        <v>255</v>
      </c>
      <c r="C26" s="192">
        <v>268708.93095175398</v>
      </c>
      <c r="D26" s="191"/>
      <c r="E26" s="191"/>
      <c r="F26" s="191"/>
      <c r="G26" s="190">
        <v>0.42404654448766621</v>
      </c>
      <c r="H26" s="193">
        <v>47152.457998667502</v>
      </c>
      <c r="I26" s="191">
        <f t="shared" si="5"/>
        <v>17.547782216116072</v>
      </c>
      <c r="J26" s="192">
        <v>170252.07358346999</v>
      </c>
      <c r="K26" s="191">
        <f t="shared" si="6"/>
        <v>63.359291029310192</v>
      </c>
      <c r="L26" s="193">
        <v>29000.693637116499</v>
      </c>
      <c r="M26" s="191">
        <f t="shared" si="7"/>
        <v>10.792605044572747</v>
      </c>
      <c r="N26" s="193">
        <v>24727.753853892798</v>
      </c>
      <c r="O26" s="191">
        <f t="shared" si="8"/>
        <v>9.2024309598896821</v>
      </c>
      <c r="P26" s="184">
        <v>1.0532280105322798</v>
      </c>
      <c r="Q26" s="189">
        <v>21</v>
      </c>
      <c r="R26" s="3"/>
      <c r="S26" s="189">
        <v>19.55</v>
      </c>
      <c r="T26" s="186">
        <v>1.7743600000000002</v>
      </c>
      <c r="U26" s="194">
        <v>148541</v>
      </c>
      <c r="V26" s="195">
        <v>-7494.8400028702672</v>
      </c>
      <c r="W26" s="195">
        <f t="shared" si="9"/>
        <v>-5.0456372334037516</v>
      </c>
      <c r="X26" s="195">
        <v>35.541492099999999</v>
      </c>
      <c r="Y26" s="195">
        <f t="shared" si="10"/>
        <v>2.3927058589884274E-2</v>
      </c>
      <c r="Z26" s="195">
        <v>-7962.0148406011831</v>
      </c>
      <c r="AA26" s="195">
        <f t="shared" si="11"/>
        <v>-5.3601462495884524</v>
      </c>
      <c r="AB26" s="195">
        <v>-502.71632983091638</v>
      </c>
      <c r="AC26" s="195">
        <f t="shared" si="12"/>
        <v>-0.33843607477458504</v>
      </c>
      <c r="AD26" s="194">
        <v>41346</v>
      </c>
      <c r="AE26" s="195">
        <v>5.6388700984135989</v>
      </c>
      <c r="AF26" s="195"/>
      <c r="AG26" s="195"/>
      <c r="AH26" s="194">
        <v>5472.2049999999999</v>
      </c>
      <c r="AI26" s="195">
        <f t="shared" si="4"/>
        <v>3.6839694091193675</v>
      </c>
      <c r="AJ26" s="5"/>
      <c r="AK26" s="5"/>
      <c r="AL26" s="5"/>
      <c r="AM26" s="5"/>
      <c r="AN26" s="5"/>
      <c r="AO26" s="5"/>
      <c r="AP26" s="5"/>
      <c r="AQ26" s="5"/>
      <c r="AR26" s="5"/>
      <c r="AS26" s="5"/>
      <c r="AT26" s="5"/>
      <c r="AU26" s="5"/>
      <c r="AV26" s="5"/>
      <c r="AW26" s="5"/>
      <c r="AX26" s="5"/>
      <c r="AY26" s="5"/>
      <c r="AZ26" s="6"/>
      <c r="BA26" s="6"/>
      <c r="BB26" s="6"/>
      <c r="BC26" s="6"/>
      <c r="BD26" s="6"/>
      <c r="BE26" s="6"/>
      <c r="BF26" s="6"/>
      <c r="BG26" s="6"/>
      <c r="BH26" s="6"/>
      <c r="BI26" s="6"/>
      <c r="BJ26" s="6"/>
      <c r="BK26" s="6"/>
      <c r="BL26" s="6"/>
      <c r="BM26" s="6"/>
      <c r="BN26" s="7"/>
      <c r="BO26" s="7"/>
      <c r="BP26" s="7"/>
      <c r="BQ26" s="7"/>
      <c r="BR26" s="8"/>
      <c r="BS26" s="8"/>
      <c r="CB26" s="9"/>
      <c r="CC26" s="9"/>
      <c r="CD26" s="9"/>
      <c r="CE26" s="9"/>
    </row>
    <row r="27" spans="2:83">
      <c r="B27" s="30" t="s">
        <v>256</v>
      </c>
      <c r="C27" s="192">
        <v>274125.55587693199</v>
      </c>
      <c r="D27" s="191"/>
      <c r="E27" s="191"/>
      <c r="F27" s="191"/>
      <c r="G27" s="190">
        <v>0.11487800742298049</v>
      </c>
      <c r="H27" s="193">
        <v>46383.160999336498</v>
      </c>
      <c r="I27" s="191">
        <f t="shared" si="5"/>
        <v>16.920407457435346</v>
      </c>
      <c r="J27" s="192">
        <v>178811.438940872</v>
      </c>
      <c r="K27" s="191">
        <f t="shared" si="6"/>
        <v>65.229758812107605</v>
      </c>
      <c r="L27" s="193">
        <v>32971.230405370399</v>
      </c>
      <c r="M27" s="191">
        <f t="shared" si="7"/>
        <v>12.027784239194668</v>
      </c>
      <c r="N27" s="193">
        <v>27646.2199609612</v>
      </c>
      <c r="O27" s="191">
        <f t="shared" si="8"/>
        <v>10.085239908596083</v>
      </c>
      <c r="P27" s="184">
        <v>1.9710412612553085</v>
      </c>
      <c r="Q27" s="189">
        <v>19</v>
      </c>
      <c r="R27" s="3"/>
      <c r="S27" s="189">
        <v>18.920000000000002</v>
      </c>
      <c r="T27" s="186">
        <v>1.9037500000000001</v>
      </c>
      <c r="U27" s="194">
        <v>154115</v>
      </c>
      <c r="V27" s="195">
        <v>-5275.6266774535015</v>
      </c>
      <c r="W27" s="195">
        <f t="shared" si="9"/>
        <v>-3.4231753414356172</v>
      </c>
      <c r="X27" s="195">
        <v>2.7351713700000015</v>
      </c>
      <c r="Y27" s="195">
        <f t="shared" si="10"/>
        <v>1.7747599974045365E-3</v>
      </c>
      <c r="Z27" s="195">
        <v>-4609.8031335041787</v>
      </c>
      <c r="AA27" s="195">
        <f t="shared" si="11"/>
        <v>-2.991145010871219</v>
      </c>
      <c r="AB27" s="195">
        <v>663.0883725793235</v>
      </c>
      <c r="AC27" s="195">
        <f t="shared" si="12"/>
        <v>0.43025557056699448</v>
      </c>
      <c r="AD27" s="194">
        <v>42562</v>
      </c>
      <c r="AE27" s="195">
        <v>6.4188139626773149</v>
      </c>
      <c r="AF27" s="195"/>
      <c r="AG27" s="195"/>
      <c r="AH27" s="194">
        <v>8996.4290000000001</v>
      </c>
      <c r="AI27" s="195">
        <f t="shared" si="4"/>
        <v>5.8374778574441164</v>
      </c>
      <c r="AJ27" s="5"/>
      <c r="AK27" s="5"/>
      <c r="AL27" s="5"/>
      <c r="AM27" s="5"/>
      <c r="AN27" s="5"/>
      <c r="AO27" s="5"/>
      <c r="AP27" s="5"/>
      <c r="AQ27" s="5"/>
      <c r="AR27" s="5"/>
      <c r="AS27" s="5"/>
      <c r="AT27" s="5"/>
      <c r="AU27" s="5"/>
      <c r="AV27" s="5"/>
      <c r="AW27" s="5"/>
      <c r="AX27" s="5"/>
      <c r="AY27" s="5"/>
      <c r="AZ27" s="6"/>
      <c r="BA27" s="6"/>
      <c r="BB27" s="6"/>
      <c r="BC27" s="6"/>
      <c r="BD27" s="6"/>
      <c r="BE27" s="6"/>
      <c r="BF27" s="6"/>
      <c r="BG27" s="6"/>
      <c r="BH27" s="6"/>
      <c r="BI27" s="6"/>
      <c r="BJ27" s="6"/>
      <c r="BK27" s="6"/>
      <c r="BL27" s="6"/>
      <c r="BM27" s="6"/>
      <c r="BN27" s="7"/>
      <c r="BO27" s="7"/>
      <c r="BP27" s="7"/>
      <c r="BQ27" s="7"/>
      <c r="BR27" s="8"/>
      <c r="BS27" s="8"/>
      <c r="CB27" s="9"/>
      <c r="CC27" s="9"/>
      <c r="CD27" s="9"/>
      <c r="CE27" s="9"/>
    </row>
    <row r="28" spans="2:83">
      <c r="B28" s="30" t="s">
        <v>257</v>
      </c>
      <c r="C28" s="192">
        <v>294207.97530927899</v>
      </c>
      <c r="D28" s="191"/>
      <c r="E28" s="191"/>
      <c r="F28" s="191"/>
      <c r="G28" s="190">
        <v>1.3727964888763156</v>
      </c>
      <c r="H28" s="193">
        <v>47431.808276397802</v>
      </c>
      <c r="I28" s="191">
        <f t="shared" si="5"/>
        <v>16.121863530904037</v>
      </c>
      <c r="J28" s="192">
        <v>189576.238411814</v>
      </c>
      <c r="K28" s="191">
        <f t="shared" si="6"/>
        <v>64.436131689675165</v>
      </c>
      <c r="L28" s="193">
        <v>36368.1520531844</v>
      </c>
      <c r="M28" s="191">
        <f t="shared" si="7"/>
        <v>12.361375321302308</v>
      </c>
      <c r="N28" s="193">
        <v>29511.050951170899</v>
      </c>
      <c r="O28" s="191">
        <f t="shared" si="8"/>
        <v>10.030676741562877</v>
      </c>
      <c r="P28" s="184">
        <v>2.7642108123144311</v>
      </c>
      <c r="Q28" s="189">
        <v>19</v>
      </c>
      <c r="R28" s="3"/>
      <c r="S28" s="189">
        <v>18.55</v>
      </c>
      <c r="T28" s="186">
        <v>1.8156800000000004</v>
      </c>
      <c r="U28" s="194">
        <v>154920</v>
      </c>
      <c r="V28" s="195">
        <v>-8171.4729393135403</v>
      </c>
      <c r="W28" s="195">
        <f t="shared" si="9"/>
        <v>-5.2746404204192752</v>
      </c>
      <c r="X28" s="195">
        <v>16.57624839</v>
      </c>
      <c r="Y28" s="195">
        <f t="shared" si="10"/>
        <v>1.0699876316808675E-2</v>
      </c>
      <c r="Z28" s="195">
        <v>-6789.4767965902311</v>
      </c>
      <c r="AA28" s="195">
        <f t="shared" si="11"/>
        <v>-4.3825695821005883</v>
      </c>
      <c r="AB28" s="195">
        <v>1365.4198943333083</v>
      </c>
      <c r="AC28" s="195">
        <f t="shared" si="12"/>
        <v>0.88137096200187737</v>
      </c>
      <c r="AD28" s="194">
        <v>36342</v>
      </c>
      <c r="AE28" s="195">
        <v>6.0641759415308121</v>
      </c>
      <c r="AF28" s="195"/>
      <c r="AG28" s="195"/>
      <c r="AH28" s="194">
        <v>6317.9976149902341</v>
      </c>
      <c r="AI28" s="195">
        <f t="shared" si="4"/>
        <v>4.0782323876776623</v>
      </c>
      <c r="AJ28" s="5"/>
      <c r="AK28" s="5"/>
      <c r="AL28" s="5"/>
      <c r="AM28" s="5"/>
      <c r="AN28" s="5"/>
      <c r="AO28" s="5"/>
      <c r="AP28" s="5"/>
      <c r="AQ28" s="5"/>
      <c r="AR28" s="5"/>
      <c r="AS28" s="5"/>
      <c r="AT28" s="5"/>
      <c r="AU28" s="5"/>
      <c r="AV28" s="5"/>
      <c r="AW28" s="5"/>
      <c r="AX28" s="5"/>
      <c r="AY28" s="5"/>
      <c r="AZ28" s="6"/>
      <c r="BA28" s="6"/>
      <c r="BB28" s="6"/>
      <c r="BC28" s="6"/>
      <c r="BD28" s="6"/>
      <c r="BE28" s="6"/>
      <c r="BF28" s="6"/>
      <c r="BG28" s="6"/>
      <c r="BH28" s="6"/>
      <c r="BI28" s="6"/>
      <c r="BJ28" s="6"/>
      <c r="BK28" s="6"/>
      <c r="BL28" s="6"/>
      <c r="BM28" s="6"/>
      <c r="BN28" s="7"/>
      <c r="BO28" s="7"/>
      <c r="BP28" s="7"/>
      <c r="BQ28" s="7"/>
      <c r="BR28" s="8"/>
      <c r="BS28" s="8"/>
      <c r="CB28" s="9"/>
      <c r="CC28" s="9"/>
      <c r="CD28" s="9"/>
      <c r="CE28" s="9"/>
    </row>
    <row r="29" spans="2:83">
      <c r="B29" s="30" t="s">
        <v>250</v>
      </c>
      <c r="C29" s="192">
        <v>276926.90621033602</v>
      </c>
      <c r="D29" s="191"/>
      <c r="E29" s="191"/>
      <c r="F29" s="191"/>
      <c r="G29" s="190">
        <v>1.0713041194666761</v>
      </c>
      <c r="H29" s="193">
        <v>56886.922621220001</v>
      </c>
      <c r="I29" s="191">
        <f t="shared" si="5"/>
        <v>20.542215778055283</v>
      </c>
      <c r="J29" s="192">
        <v>176025.22598448599</v>
      </c>
      <c r="K29" s="191">
        <f t="shared" si="6"/>
        <v>63.563785979968465</v>
      </c>
      <c r="L29" s="193">
        <v>31107.005414301399</v>
      </c>
      <c r="M29" s="191">
        <f t="shared" si="7"/>
        <v>11.232929959747032</v>
      </c>
      <c r="N29" s="193">
        <v>26401.8531289946</v>
      </c>
      <c r="O29" s="191">
        <f t="shared" si="8"/>
        <v>9.533870684613591</v>
      </c>
      <c r="P29" s="184">
        <v>0.97257893941683449</v>
      </c>
      <c r="Q29" s="189">
        <v>18.5</v>
      </c>
      <c r="R29" s="3"/>
      <c r="S29" s="189">
        <v>18.149999999999999</v>
      </c>
      <c r="T29" s="186">
        <v>1.7374199999999997</v>
      </c>
      <c r="U29" s="194">
        <v>154920</v>
      </c>
      <c r="V29" s="195">
        <v>-4405.4449878685546</v>
      </c>
      <c r="W29" s="195">
        <f t="shared" si="9"/>
        <v>-2.8436902839327103</v>
      </c>
      <c r="X29" s="195">
        <v>3.1392792600000003</v>
      </c>
      <c r="Y29" s="195">
        <f t="shared" si="10"/>
        <v>2.0263873353989158E-3</v>
      </c>
      <c r="Z29" s="195">
        <v>-5037.4009240506957</v>
      </c>
      <c r="AA29" s="195">
        <f t="shared" si="11"/>
        <v>-3.2516143325914642</v>
      </c>
      <c r="AB29" s="195">
        <v>-635.0952154421409</v>
      </c>
      <c r="AC29" s="195">
        <f t="shared" si="12"/>
        <v>-0.40995043599415237</v>
      </c>
      <c r="AD29" s="194">
        <v>39200</v>
      </c>
      <c r="AE29" s="195">
        <v>6.4000417961913216</v>
      </c>
      <c r="AF29" s="195"/>
      <c r="AG29" s="195"/>
      <c r="AH29" s="194">
        <v>6947.9400000000005</v>
      </c>
      <c r="AI29" s="195">
        <f t="shared" si="4"/>
        <v>4.4848567002323785</v>
      </c>
      <c r="AJ29" s="5"/>
      <c r="AK29" s="5"/>
      <c r="AL29" s="5"/>
      <c r="AM29" s="5"/>
      <c r="AN29" s="5"/>
      <c r="AO29" s="5"/>
      <c r="AP29" s="5"/>
      <c r="AQ29" s="5"/>
      <c r="AR29" s="5"/>
      <c r="AS29" s="5"/>
      <c r="AT29" s="5"/>
      <c r="AU29" s="5"/>
      <c r="AV29" s="5"/>
      <c r="AW29" s="5"/>
      <c r="AX29" s="5"/>
      <c r="AY29" s="5"/>
      <c r="AZ29" s="6"/>
      <c r="BA29" s="6"/>
      <c r="BB29" s="6"/>
      <c r="BC29" s="6"/>
      <c r="BD29" s="6"/>
      <c r="BE29" s="6"/>
      <c r="BF29" s="6"/>
      <c r="BG29" s="6"/>
      <c r="BH29" s="6"/>
      <c r="BI29" s="6"/>
      <c r="BJ29" s="6"/>
      <c r="BK29" s="6"/>
      <c r="BL29" s="6"/>
      <c r="BM29" s="6"/>
      <c r="BN29" s="7"/>
      <c r="BO29" s="7"/>
      <c r="BP29" s="7"/>
      <c r="BQ29" s="7"/>
      <c r="BR29" s="8"/>
      <c r="BS29" s="8"/>
      <c r="CB29" s="9"/>
      <c r="CC29" s="9"/>
      <c r="CD29" s="9"/>
      <c r="CE29" s="9"/>
    </row>
    <row r="30" spans="2:83">
      <c r="B30" s="30" t="s">
        <v>251</v>
      </c>
      <c r="C30" s="192">
        <v>292788.55798380502</v>
      </c>
      <c r="D30" s="191"/>
      <c r="E30" s="191"/>
      <c r="F30" s="191"/>
      <c r="G30" s="190">
        <v>1.3388978747436608</v>
      </c>
      <c r="H30" s="193">
        <v>53911.0787355715</v>
      </c>
      <c r="I30" s="191">
        <f t="shared" si="5"/>
        <v>18.412973207290932</v>
      </c>
      <c r="J30" s="192">
        <v>189995.882576545</v>
      </c>
      <c r="K30" s="191">
        <f t="shared" si="6"/>
        <v>64.891839997058298</v>
      </c>
      <c r="L30" s="193">
        <v>34983.0807708059</v>
      </c>
      <c r="M30" s="191">
        <f t="shared" si="7"/>
        <v>11.94824039972932</v>
      </c>
      <c r="N30" s="193">
        <v>30238.765783907798</v>
      </c>
      <c r="O30" s="191">
        <f t="shared" si="8"/>
        <v>10.327850921544684</v>
      </c>
      <c r="P30" s="184">
        <v>0.66146719783542096</v>
      </c>
      <c r="Q30" s="189">
        <v>17.5</v>
      </c>
      <c r="R30" s="3"/>
      <c r="S30" s="189">
        <v>17.510000000000002</v>
      </c>
      <c r="T30" s="186">
        <v>1.8130200000000003</v>
      </c>
      <c r="U30" s="194">
        <v>161772</v>
      </c>
      <c r="V30" s="195">
        <v>-7485.5117502075318</v>
      </c>
      <c r="W30" s="195">
        <f t="shared" si="9"/>
        <v>-4.6271986191723737</v>
      </c>
      <c r="X30" s="195">
        <v>33.233270650000001</v>
      </c>
      <c r="Y30" s="195">
        <f t="shared" si="10"/>
        <v>2.0543277359493611E-2</v>
      </c>
      <c r="Z30" s="195">
        <v>-5540.7744639191033</v>
      </c>
      <c r="AA30" s="195">
        <f t="shared" si="11"/>
        <v>-3.4250515935508639</v>
      </c>
      <c r="AB30" s="195">
        <v>1911.5040156384293</v>
      </c>
      <c r="AC30" s="195">
        <f t="shared" si="12"/>
        <v>1.1816037482620165</v>
      </c>
      <c r="AD30" s="194">
        <v>28265</v>
      </c>
      <c r="AE30" s="195">
        <v>4.5171456561727403</v>
      </c>
      <c r="AF30" s="195"/>
      <c r="AG30" s="195"/>
      <c r="AH30" s="194">
        <v>6472.8250000000007</v>
      </c>
      <c r="AI30" s="195">
        <f t="shared" si="4"/>
        <v>4.0012023094231397</v>
      </c>
      <c r="AJ30" s="5"/>
      <c r="AK30" s="5"/>
      <c r="AL30" s="5"/>
      <c r="AM30" s="5"/>
      <c r="AN30" s="5"/>
      <c r="AO30" s="5"/>
      <c r="AP30" s="5"/>
      <c r="AQ30" s="5"/>
      <c r="AR30" s="5"/>
      <c r="AS30" s="5"/>
      <c r="AT30" s="5"/>
      <c r="AU30" s="5"/>
      <c r="AV30" s="5"/>
      <c r="AW30" s="5"/>
      <c r="AX30" s="5"/>
      <c r="AY30" s="5"/>
      <c r="AZ30" s="6"/>
      <c r="BA30" s="6"/>
      <c r="BB30" s="6"/>
      <c r="BC30" s="6"/>
      <c r="BD30" s="6"/>
      <c r="BE30" s="6"/>
      <c r="BF30" s="6"/>
      <c r="BG30" s="6"/>
      <c r="BH30" s="6"/>
      <c r="BI30" s="6"/>
      <c r="BJ30" s="6"/>
      <c r="BK30" s="6"/>
      <c r="BL30" s="6"/>
      <c r="BM30" s="6"/>
      <c r="BN30" s="7"/>
      <c r="BO30" s="7"/>
      <c r="BP30" s="7"/>
      <c r="BQ30" s="7"/>
      <c r="BR30" s="8"/>
      <c r="BS30" s="8"/>
      <c r="CB30" s="9"/>
      <c r="CC30" s="9"/>
      <c r="CD30" s="9"/>
      <c r="CE30" s="9"/>
    </row>
    <row r="31" spans="2:83">
      <c r="B31" s="30" t="s">
        <v>252</v>
      </c>
      <c r="C31" s="192">
        <v>308895.79990633199</v>
      </c>
      <c r="D31" s="191"/>
      <c r="E31" s="191"/>
      <c r="F31" s="191"/>
      <c r="G31" s="190">
        <v>1.3486863671832605</v>
      </c>
      <c r="H31" s="193">
        <v>53878.574951676797</v>
      </c>
      <c r="I31" s="191">
        <f t="shared" si="5"/>
        <v>17.44231387024837</v>
      </c>
      <c r="J31" s="192">
        <v>200011.591048498</v>
      </c>
      <c r="K31" s="191">
        <f t="shared" si="6"/>
        <v>64.750505221873695</v>
      </c>
      <c r="L31" s="193">
        <v>40155.473492156903</v>
      </c>
      <c r="M31" s="191">
        <f t="shared" si="7"/>
        <v>12.999682580447338</v>
      </c>
      <c r="N31" s="193">
        <v>33767.674647758897</v>
      </c>
      <c r="O31" s="191">
        <f t="shared" si="8"/>
        <v>10.93173641661636</v>
      </c>
      <c r="P31" s="184">
        <v>3.1778375097546245</v>
      </c>
      <c r="Q31" s="189">
        <v>16.5</v>
      </c>
      <c r="R31" s="3"/>
      <c r="S31" s="189">
        <v>16.05</v>
      </c>
      <c r="T31" s="186">
        <v>1.8508699999999998</v>
      </c>
      <c r="U31" s="194">
        <v>169058</v>
      </c>
      <c r="V31" s="195">
        <v>-4956.651761981343</v>
      </c>
      <c r="W31" s="195">
        <f t="shared" si="9"/>
        <v>-2.9319238143012121</v>
      </c>
      <c r="X31" s="195">
        <v>57.037115450000009</v>
      </c>
      <c r="Y31" s="195">
        <f t="shared" si="10"/>
        <v>3.3738193667262127E-2</v>
      </c>
      <c r="Z31" s="195">
        <v>-3196.8393100080821</v>
      </c>
      <c r="AA31" s="195">
        <f t="shared" si="11"/>
        <v>-1.8909719208840055</v>
      </c>
      <c r="AB31" s="195">
        <v>1702.7753365232611</v>
      </c>
      <c r="AC31" s="195">
        <f t="shared" si="12"/>
        <v>1.0072136997499446</v>
      </c>
      <c r="AD31" s="194">
        <v>31431</v>
      </c>
      <c r="AE31" s="195">
        <v>4.9059578254015328</v>
      </c>
      <c r="AF31" s="195"/>
      <c r="AG31" s="195"/>
      <c r="AH31" s="194">
        <v>9442.5169999999998</v>
      </c>
      <c r="AI31" s="195">
        <f t="shared" si="4"/>
        <v>5.5853712926924493</v>
      </c>
      <c r="AJ31" s="5"/>
      <c r="AK31" s="5"/>
      <c r="AL31" s="5"/>
      <c r="AM31" s="5"/>
      <c r="AN31" s="5"/>
      <c r="AO31" s="5"/>
      <c r="AP31" s="5"/>
      <c r="AQ31" s="5"/>
      <c r="AR31" s="5"/>
      <c r="AS31" s="5"/>
      <c r="AT31" s="5"/>
      <c r="AU31" s="5"/>
      <c r="AV31" s="5"/>
      <c r="AW31" s="5"/>
      <c r="AX31" s="5"/>
      <c r="AY31" s="5"/>
      <c r="AZ31" s="6"/>
      <c r="BA31" s="6"/>
      <c r="BB31" s="6"/>
      <c r="BC31" s="6"/>
      <c r="BD31" s="6"/>
      <c r="BE31" s="6"/>
      <c r="BF31" s="6"/>
      <c r="BG31" s="6"/>
      <c r="BH31" s="6"/>
      <c r="BI31" s="6"/>
      <c r="BJ31" s="6"/>
      <c r="BK31" s="6"/>
      <c r="BL31" s="6"/>
      <c r="BM31" s="6"/>
      <c r="BN31" s="7"/>
      <c r="BO31" s="7"/>
      <c r="BP31" s="7"/>
      <c r="BQ31" s="7"/>
      <c r="BR31" s="8"/>
      <c r="BS31" s="8"/>
      <c r="CB31" s="9"/>
      <c r="CC31" s="9"/>
      <c r="CD31" s="9"/>
      <c r="CE31" s="9"/>
    </row>
    <row r="32" spans="2:83">
      <c r="B32" s="30" t="s">
        <v>253</v>
      </c>
      <c r="C32" s="192">
        <v>320480.80683973699</v>
      </c>
      <c r="D32" s="191"/>
      <c r="E32" s="191"/>
      <c r="F32" s="191"/>
      <c r="G32" s="190">
        <v>1.1325354358402429</v>
      </c>
      <c r="H32" s="193">
        <v>54811.088283295801</v>
      </c>
      <c r="I32" s="191">
        <f t="shared" si="5"/>
        <v>17.102767814331298</v>
      </c>
      <c r="J32" s="192">
        <v>208493.248513578</v>
      </c>
      <c r="K32" s="191">
        <f t="shared" si="6"/>
        <v>65.056391541674856</v>
      </c>
      <c r="L32" s="193">
        <v>43061.947836277803</v>
      </c>
      <c r="M32" s="191">
        <f t="shared" si="7"/>
        <v>13.43666981524164</v>
      </c>
      <c r="N32" s="193">
        <v>31755.782261057699</v>
      </c>
      <c r="O32" s="191">
        <f t="shared" si="8"/>
        <v>9.9087937821305569</v>
      </c>
      <c r="P32" s="184">
        <v>1.0528653664919858</v>
      </c>
      <c r="Q32" s="189">
        <v>15.75</v>
      </c>
      <c r="R32" s="3"/>
      <c r="S32" s="189">
        <v>15.74</v>
      </c>
      <c r="T32" s="186">
        <v>1.9572800000000004</v>
      </c>
      <c r="U32" s="194">
        <v>169958</v>
      </c>
      <c r="V32" s="195">
        <v>-9683.2402987668193</v>
      </c>
      <c r="W32" s="195">
        <f t="shared" si="9"/>
        <v>-5.6974313058325112</v>
      </c>
      <c r="X32" s="195">
        <v>33.409251079999997</v>
      </c>
      <c r="Y32" s="195">
        <f t="shared" si="10"/>
        <v>1.9657357158827472E-2</v>
      </c>
      <c r="Z32" s="195">
        <v>-6649.4080757176007</v>
      </c>
      <c r="AA32" s="195">
        <f t="shared" si="11"/>
        <v>-3.9123831038948453</v>
      </c>
      <c r="AB32" s="195">
        <v>3000.4229719692185</v>
      </c>
      <c r="AC32" s="195">
        <f t="shared" si="12"/>
        <v>1.7653908447788385</v>
      </c>
      <c r="AD32" s="194">
        <v>33011</v>
      </c>
      <c r="AE32" s="195">
        <v>5.0344055585718035</v>
      </c>
      <c r="AF32" s="195"/>
      <c r="AG32" s="195"/>
      <c r="AH32" s="194">
        <v>10131.43669975</v>
      </c>
      <c r="AI32" s="195">
        <f t="shared" si="4"/>
        <v>5.9611413994928162</v>
      </c>
      <c r="AJ32" s="5"/>
      <c r="AK32" s="5"/>
      <c r="AL32" s="5"/>
      <c r="AM32" s="5"/>
      <c r="AN32" s="5"/>
      <c r="AO32" s="5"/>
      <c r="AP32" s="5"/>
      <c r="AQ32" s="5"/>
      <c r="AR32" s="5"/>
      <c r="AS32" s="5"/>
      <c r="AT32" s="5"/>
      <c r="AU32" s="5"/>
      <c r="AV32" s="5"/>
      <c r="AW32" s="5"/>
      <c r="AX32" s="5"/>
      <c r="AY32" s="5"/>
      <c r="AZ32" s="6"/>
      <c r="BA32" s="6"/>
      <c r="BB32" s="6"/>
      <c r="BC32" s="6"/>
      <c r="BD32" s="6"/>
      <c r="BE32" s="6"/>
      <c r="BF32" s="6"/>
      <c r="BG32" s="6"/>
      <c r="BH32" s="6"/>
      <c r="BI32" s="6"/>
      <c r="BJ32" s="6"/>
      <c r="BK32" s="6"/>
      <c r="BL32" s="6"/>
      <c r="BM32" s="6"/>
      <c r="BN32" s="7"/>
      <c r="BO32" s="7"/>
      <c r="BP32" s="7"/>
      <c r="BQ32" s="7"/>
      <c r="BR32" s="8"/>
      <c r="BS32" s="8"/>
      <c r="CB32" s="9"/>
      <c r="CC32" s="9"/>
      <c r="CD32" s="9"/>
      <c r="CE32" s="9"/>
    </row>
    <row r="33" spans="2:83">
      <c r="B33" s="30" t="s">
        <v>246</v>
      </c>
      <c r="C33" s="192">
        <v>312469.81993194402</v>
      </c>
      <c r="D33" s="191"/>
      <c r="E33" s="191"/>
      <c r="F33" s="191"/>
      <c r="G33" s="190">
        <v>0.27338371842784426</v>
      </c>
      <c r="H33" s="193">
        <v>61689.234301396798</v>
      </c>
      <c r="I33" s="191">
        <f t="shared" si="5"/>
        <v>19.742461628720729</v>
      </c>
      <c r="J33" s="192">
        <v>203369.31853886499</v>
      </c>
      <c r="K33" s="191">
        <f t="shared" si="6"/>
        <v>65.084467544148382</v>
      </c>
      <c r="L33" s="193">
        <v>42901.6259110725</v>
      </c>
      <c r="M33" s="191">
        <f t="shared" si="7"/>
        <v>13.729846268166469</v>
      </c>
      <c r="N33" s="193">
        <v>33576.475440388604</v>
      </c>
      <c r="O33" s="191">
        <f t="shared" si="8"/>
        <v>10.745509901628761</v>
      </c>
      <c r="P33" s="184">
        <v>1.416716662607584</v>
      </c>
      <c r="Q33" s="189">
        <v>15.75</v>
      </c>
      <c r="R33" s="3"/>
      <c r="S33" s="189">
        <v>15.14</v>
      </c>
      <c r="T33" s="186">
        <v>2.12975</v>
      </c>
      <c r="U33" s="194">
        <v>135716</v>
      </c>
      <c r="V33" s="195">
        <v>-7117.6394872553019</v>
      </c>
      <c r="W33" s="195">
        <f t="shared" si="9"/>
        <v>-5.2445102178485232</v>
      </c>
      <c r="X33" s="195">
        <v>11.86990569</v>
      </c>
      <c r="Y33" s="195">
        <f t="shared" si="10"/>
        <v>8.7461358203896368E-3</v>
      </c>
      <c r="Z33" s="195">
        <v>-5855.0117067503534</v>
      </c>
      <c r="AA33" s="195">
        <f t="shared" si="11"/>
        <v>-4.3141646576309007</v>
      </c>
      <c r="AB33" s="195">
        <v>1250.7578748149485</v>
      </c>
      <c r="AC33" s="195">
        <f t="shared" si="12"/>
        <v>0.92159942439723286</v>
      </c>
      <c r="AD33" s="194">
        <v>34407</v>
      </c>
      <c r="AE33" s="195">
        <v>5.4056219599562612</v>
      </c>
      <c r="AF33" s="195"/>
      <c r="AG33" s="195"/>
      <c r="AH33" s="194">
        <v>4736.5575549718651</v>
      </c>
      <c r="AI33" s="195">
        <f t="shared" si="4"/>
        <v>3.4900509556514079</v>
      </c>
      <c r="AJ33" s="5"/>
      <c r="AK33" s="5"/>
      <c r="AL33" s="5"/>
      <c r="AM33" s="5"/>
      <c r="AN33" s="5"/>
      <c r="AO33" s="5"/>
      <c r="AP33" s="5"/>
      <c r="AQ33" s="5"/>
      <c r="AR33" s="5"/>
      <c r="AS33" s="5"/>
      <c r="AT33" s="5"/>
      <c r="AU33" s="5"/>
      <c r="AV33" s="5"/>
      <c r="AW33" s="5"/>
      <c r="AX33" s="5"/>
      <c r="AY33" s="5"/>
      <c r="AZ33" s="6"/>
      <c r="BA33" s="6"/>
      <c r="BB33" s="6"/>
      <c r="BC33" s="6"/>
      <c r="BD33" s="6"/>
      <c r="BE33" s="6"/>
      <c r="BF33" s="6"/>
      <c r="BG33" s="6"/>
      <c r="BH33" s="6"/>
      <c r="BI33" s="6"/>
      <c r="BJ33" s="6"/>
      <c r="BK33" s="6"/>
      <c r="BL33" s="6"/>
      <c r="BM33" s="6"/>
      <c r="BN33" s="7"/>
      <c r="BO33" s="7"/>
      <c r="BP33" s="7"/>
      <c r="BQ33" s="7"/>
      <c r="BR33" s="8"/>
      <c r="BS33" s="8"/>
      <c r="CB33" s="9"/>
      <c r="CC33" s="9"/>
      <c r="CD33" s="9"/>
      <c r="CE33" s="9"/>
    </row>
    <row r="34" spans="2:83">
      <c r="B34" s="30" t="s">
        <v>247</v>
      </c>
      <c r="C34" s="192">
        <v>323723.55976888002</v>
      </c>
      <c r="D34" s="191"/>
      <c r="E34" s="191"/>
      <c r="F34" s="191"/>
      <c r="G34" s="190">
        <v>-0.37944376341928487</v>
      </c>
      <c r="H34" s="193">
        <v>62066.886281921201</v>
      </c>
      <c r="I34" s="191">
        <f t="shared" si="5"/>
        <v>19.172804823421991</v>
      </c>
      <c r="J34" s="192">
        <v>210283.80357930899</v>
      </c>
      <c r="K34" s="191">
        <f t="shared" si="6"/>
        <v>64.957831221626108</v>
      </c>
      <c r="L34" s="193">
        <v>48577.435638315903</v>
      </c>
      <c r="M34" s="191">
        <f t="shared" si="7"/>
        <v>15.005838831439206</v>
      </c>
      <c r="N34" s="193">
        <v>40837.1561374292</v>
      </c>
      <c r="O34" s="191">
        <f t="shared" si="8"/>
        <v>12.6148236373604</v>
      </c>
      <c r="P34" s="184">
        <v>1.5175831127146608</v>
      </c>
      <c r="Q34" s="189">
        <v>18.25</v>
      </c>
      <c r="R34" s="3"/>
      <c r="S34" s="189">
        <v>17.18</v>
      </c>
      <c r="T34" s="186">
        <v>2.3670299999999997</v>
      </c>
      <c r="U34" s="194">
        <v>140033</v>
      </c>
      <c r="V34" s="195">
        <v>-7114.8225654067064</v>
      </c>
      <c r="W34" s="195">
        <f t="shared" si="9"/>
        <v>-5.0808184966448673</v>
      </c>
      <c r="X34" s="195">
        <v>64.390781050000001</v>
      </c>
      <c r="Y34" s="195">
        <f t="shared" si="10"/>
        <v>4.5982576285589827E-2</v>
      </c>
      <c r="Z34" s="195">
        <v>-6503.3096683976673</v>
      </c>
      <c r="AA34" s="195">
        <f t="shared" si="11"/>
        <v>-4.6441265047507851</v>
      </c>
      <c r="AB34" s="195">
        <v>547.12211595903818</v>
      </c>
      <c r="AC34" s="195">
        <f t="shared" si="12"/>
        <v>0.39070941560849098</v>
      </c>
      <c r="AD34" s="194">
        <v>37318</v>
      </c>
      <c r="AE34" s="195">
        <v>6.0702870202435077</v>
      </c>
      <c r="AF34" s="195"/>
      <c r="AG34" s="195"/>
      <c r="AH34" s="194">
        <v>5161.7115281780643</v>
      </c>
      <c r="AI34" s="195">
        <f t="shared" si="4"/>
        <v>3.6860679469682607</v>
      </c>
      <c r="AJ34" s="5"/>
      <c r="AK34" s="5"/>
      <c r="AL34" s="5"/>
      <c r="AM34" s="5"/>
      <c r="AN34" s="5"/>
      <c r="AO34" s="5"/>
      <c r="AP34" s="5"/>
      <c r="AQ34" s="5"/>
      <c r="AR34" s="5"/>
      <c r="AS34" s="5"/>
      <c r="AT34" s="5"/>
      <c r="AU34" s="5"/>
      <c r="AV34" s="5"/>
      <c r="AW34" s="5"/>
      <c r="AX34" s="5"/>
      <c r="AY34" s="5"/>
      <c r="AZ34" s="6"/>
      <c r="BA34" s="6"/>
      <c r="BB34" s="6"/>
      <c r="BC34" s="6"/>
      <c r="BD34" s="6"/>
      <c r="BE34" s="6"/>
      <c r="BF34" s="6"/>
      <c r="BG34" s="6"/>
      <c r="BH34" s="6"/>
      <c r="BI34" s="6"/>
      <c r="BJ34" s="6"/>
      <c r="BK34" s="6"/>
      <c r="BL34" s="6"/>
      <c r="BM34" s="6"/>
      <c r="BN34" s="7"/>
      <c r="BO34" s="7"/>
      <c r="BP34" s="7"/>
      <c r="BQ34" s="7"/>
      <c r="BR34" s="8"/>
      <c r="BS34" s="8"/>
      <c r="CB34" s="9"/>
      <c r="CC34" s="9"/>
      <c r="CD34" s="9"/>
      <c r="CE34" s="9"/>
    </row>
    <row r="35" spans="2:83">
      <c r="B35" s="30" t="s">
        <v>248</v>
      </c>
      <c r="C35" s="192">
        <v>332524.44573643198</v>
      </c>
      <c r="D35" s="191"/>
      <c r="E35" s="191"/>
      <c r="F35" s="191"/>
      <c r="G35" s="190">
        <v>-0.45837950998202093</v>
      </c>
      <c r="H35" s="193">
        <v>60427.3887483457</v>
      </c>
      <c r="I35" s="191">
        <f t="shared" si="5"/>
        <v>18.172314704417886</v>
      </c>
      <c r="J35" s="192">
        <v>211485.55471160499</v>
      </c>
      <c r="K35" s="191">
        <f t="shared" si="6"/>
        <v>63.600002172241574</v>
      </c>
      <c r="L35" s="193">
        <v>51522.557291561097</v>
      </c>
      <c r="M35" s="191">
        <f t="shared" si="7"/>
        <v>15.494366790825145</v>
      </c>
      <c r="N35" s="193">
        <v>45700.994584250599</v>
      </c>
      <c r="O35" s="191">
        <f t="shared" si="8"/>
        <v>13.743649578315352</v>
      </c>
      <c r="P35" s="184">
        <v>2.3245616565602916</v>
      </c>
      <c r="Q35" s="189">
        <v>19</v>
      </c>
      <c r="R35" s="3"/>
      <c r="S35" s="189">
        <v>18.829999999999998</v>
      </c>
      <c r="T35" s="186">
        <v>2.7170100000000001</v>
      </c>
      <c r="U35" s="194">
        <v>142787</v>
      </c>
      <c r="V35" s="195">
        <v>-4455.1805025393878</v>
      </c>
      <c r="W35" s="195">
        <f t="shared" si="9"/>
        <v>-3.1201583495271894</v>
      </c>
      <c r="X35" s="195">
        <v>15.76959465</v>
      </c>
      <c r="Y35" s="195">
        <f t="shared" si="10"/>
        <v>1.1044138927213261E-2</v>
      </c>
      <c r="Z35" s="195">
        <v>-5481.9938645215652</v>
      </c>
      <c r="AA35" s="195">
        <f t="shared" si="11"/>
        <v>-3.8392807920339842</v>
      </c>
      <c r="AB35" s="195">
        <v>-1042.582956632177</v>
      </c>
      <c r="AC35" s="195">
        <f t="shared" si="12"/>
        <v>-0.73016658143400803</v>
      </c>
      <c r="AD35" s="194">
        <v>40054</v>
      </c>
      <c r="AE35" s="195">
        <v>6.8061866391161168</v>
      </c>
      <c r="AF35" s="195"/>
      <c r="AG35" s="195"/>
      <c r="AH35" s="194">
        <v>5382.0797004577307</v>
      </c>
      <c r="AI35" s="195">
        <f t="shared" si="4"/>
        <v>3.7693065198216442</v>
      </c>
      <c r="AJ35" s="5"/>
      <c r="AK35" s="5"/>
      <c r="AL35" s="5"/>
      <c r="AM35" s="5"/>
      <c r="AN35" s="5"/>
      <c r="AO35" s="5"/>
      <c r="AP35" s="5"/>
      <c r="AQ35" s="5"/>
      <c r="AR35" s="5"/>
      <c r="AS35" s="5"/>
      <c r="AT35" s="5"/>
      <c r="AU35" s="5"/>
      <c r="AV35" s="5"/>
      <c r="AW35" s="5"/>
      <c r="AX35" s="5"/>
      <c r="AY35" s="5"/>
      <c r="AZ35" s="6"/>
      <c r="BA35" s="6"/>
      <c r="BB35" s="6"/>
      <c r="BC35" s="6"/>
      <c r="BD35" s="6"/>
      <c r="BE35" s="6"/>
      <c r="BF35" s="6"/>
      <c r="BG35" s="6"/>
      <c r="BH35" s="6"/>
      <c r="BI35" s="6"/>
      <c r="BJ35" s="6"/>
      <c r="BK35" s="6"/>
      <c r="BL35" s="6"/>
      <c r="BM35" s="6"/>
      <c r="BN35" s="7"/>
      <c r="BO35" s="7"/>
      <c r="BP35" s="7"/>
      <c r="BQ35" s="7"/>
      <c r="BR35" s="8"/>
      <c r="BS35" s="8"/>
      <c r="CB35" s="9"/>
      <c r="CC35" s="9"/>
      <c r="CD35" s="9"/>
      <c r="CE35" s="9"/>
    </row>
    <row r="36" spans="2:83">
      <c r="B36" s="30" t="s">
        <v>249</v>
      </c>
      <c r="C36" s="192">
        <v>347037.642393674</v>
      </c>
      <c r="D36" s="191"/>
      <c r="E36" s="191"/>
      <c r="F36" s="191"/>
      <c r="G36" s="190">
        <v>-0.44821839648870876</v>
      </c>
      <c r="H36" s="193">
        <v>58153.470869924196</v>
      </c>
      <c r="I36" s="191">
        <f t="shared" si="5"/>
        <v>16.757107519753095</v>
      </c>
      <c r="J36" s="192">
        <v>218362.001373162</v>
      </c>
      <c r="K36" s="191">
        <f t="shared" si="6"/>
        <v>62.921704938698156</v>
      </c>
      <c r="L36" s="193">
        <v>48632.5645691065</v>
      </c>
      <c r="M36" s="191">
        <f t="shared" si="7"/>
        <v>14.013628099149686</v>
      </c>
      <c r="N36" s="193">
        <v>42666.833474087602</v>
      </c>
      <c r="O36" s="191">
        <f t="shared" si="8"/>
        <v>12.294583717142425</v>
      </c>
      <c r="P36" s="184">
        <v>2.2063467003473392</v>
      </c>
      <c r="Q36" s="189">
        <v>19</v>
      </c>
      <c r="R36" s="3"/>
      <c r="S36" s="189">
        <v>18.54</v>
      </c>
      <c r="T36" s="186">
        <v>2.32599</v>
      </c>
      <c r="U36" s="194">
        <v>141025</v>
      </c>
      <c r="V36" s="195">
        <v>-6202.434624617681</v>
      </c>
      <c r="W36" s="195">
        <f t="shared" si="9"/>
        <v>-4.3981099979561646</v>
      </c>
      <c r="X36" s="195">
        <v>13.65432373</v>
      </c>
      <c r="Y36" s="195">
        <f t="shared" si="10"/>
        <v>9.6822008367310752E-3</v>
      </c>
      <c r="Z36" s="195">
        <v>-5169.8240407063686</v>
      </c>
      <c r="AA36" s="195">
        <f t="shared" si="11"/>
        <v>-3.6658918920094798</v>
      </c>
      <c r="AB36" s="195">
        <v>1018.9562601813122</v>
      </c>
      <c r="AC36" s="195">
        <f t="shared" si="12"/>
        <v>0.7225359051099538</v>
      </c>
      <c r="AD36" s="194">
        <v>35866</v>
      </c>
      <c r="AE36" s="195">
        <v>6.4096675786911526</v>
      </c>
      <c r="AF36" s="195"/>
      <c r="AG36" s="195"/>
      <c r="AH36" s="194">
        <v>7945.4975886433404</v>
      </c>
      <c r="AI36" s="195">
        <f t="shared" si="4"/>
        <v>5.6341057178821767</v>
      </c>
      <c r="AJ36" s="5"/>
      <c r="AK36" s="5"/>
      <c r="AL36" s="5"/>
      <c r="AM36" s="5"/>
      <c r="AN36" s="5"/>
      <c r="AO36" s="5"/>
      <c r="AP36" s="5"/>
      <c r="AQ36" s="5"/>
      <c r="AR36" s="5"/>
      <c r="AS36" s="5"/>
      <c r="AT36" s="5"/>
      <c r="AU36" s="5"/>
      <c r="AV36" s="5"/>
      <c r="AW36" s="5"/>
      <c r="AX36" s="5"/>
      <c r="AY36" s="5"/>
      <c r="AZ36" s="6"/>
      <c r="BA36" s="6"/>
      <c r="BB36" s="6"/>
      <c r="BC36" s="6"/>
      <c r="BD36" s="6"/>
      <c r="BE36" s="6"/>
      <c r="BF36" s="6"/>
      <c r="BG36" s="6"/>
      <c r="BH36" s="6"/>
      <c r="BI36" s="6"/>
      <c r="BJ36" s="6"/>
      <c r="BK36" s="6"/>
      <c r="BL36" s="6"/>
      <c r="BM36" s="6"/>
      <c r="BN36" s="7"/>
      <c r="BO36" s="7"/>
      <c r="BP36" s="7"/>
      <c r="BQ36" s="7"/>
      <c r="BR36" s="8"/>
      <c r="BS36" s="8"/>
      <c r="CB36" s="9"/>
      <c r="CC36" s="9"/>
      <c r="CD36" s="9"/>
      <c r="CE36" s="9"/>
    </row>
    <row r="37" spans="2:83">
      <c r="B37" s="30" t="s">
        <v>242</v>
      </c>
      <c r="C37" s="192">
        <v>342296.66723420902</v>
      </c>
      <c r="D37" s="191"/>
      <c r="E37" s="191"/>
      <c r="F37" s="191"/>
      <c r="G37" s="190">
        <v>2.5347987649939396</v>
      </c>
      <c r="H37" s="193">
        <v>62805.927262864003</v>
      </c>
      <c r="I37" s="191">
        <f t="shared" si="5"/>
        <v>18.348389942076302</v>
      </c>
      <c r="J37" s="192">
        <v>215912.92836607501</v>
      </c>
      <c r="K37" s="191">
        <f t="shared" si="6"/>
        <v>63.077718550599059</v>
      </c>
      <c r="L37" s="193">
        <v>38734.913998603901</v>
      </c>
      <c r="M37" s="191">
        <f t="shared" si="7"/>
        <v>11.316182045120639</v>
      </c>
      <c r="N37" s="193">
        <v>34811.533547835803</v>
      </c>
      <c r="O37" s="191">
        <f t="shared" si="8"/>
        <v>10.169989041703632</v>
      </c>
      <c r="P37" s="184">
        <v>1.4873251868810797</v>
      </c>
      <c r="Q37" s="189">
        <v>18.5</v>
      </c>
      <c r="R37" s="3"/>
      <c r="S37" s="189">
        <v>17.97</v>
      </c>
      <c r="T37" s="186">
        <v>2.3449300000000002</v>
      </c>
      <c r="U37" s="194">
        <v>119709</v>
      </c>
      <c r="V37" s="195">
        <v>-3642.6205983070304</v>
      </c>
      <c r="W37" s="195">
        <f t="shared" si="9"/>
        <v>-3.0428961885130024</v>
      </c>
      <c r="X37" s="195">
        <v>8.9065274900000002</v>
      </c>
      <c r="Y37" s="195">
        <f t="shared" si="10"/>
        <v>7.440148602026582E-3</v>
      </c>
      <c r="Z37" s="195">
        <v>-3392.8559411073365</v>
      </c>
      <c r="AA37" s="195">
        <f t="shared" si="11"/>
        <v>-2.8342530144829015</v>
      </c>
      <c r="AB37" s="195">
        <v>240.85812970969394</v>
      </c>
      <c r="AC37" s="195">
        <f t="shared" si="12"/>
        <v>0.20120302542807467</v>
      </c>
      <c r="AD37" s="194">
        <v>36721</v>
      </c>
      <c r="AE37" s="195">
        <v>6.7557225225092639</v>
      </c>
      <c r="AF37" s="195"/>
      <c r="AG37" s="195"/>
      <c r="AH37" s="194">
        <v>4719.5590729661963</v>
      </c>
      <c r="AI37" s="195">
        <f t="shared" si="4"/>
        <v>3.9425265209518048</v>
      </c>
      <c r="AJ37" s="5"/>
      <c r="AK37" s="5"/>
      <c r="AL37" s="5"/>
      <c r="AM37" s="5"/>
      <c r="AN37" s="5"/>
      <c r="AO37" s="5"/>
      <c r="AP37" s="5"/>
      <c r="AQ37" s="5"/>
      <c r="AR37" s="5"/>
      <c r="AS37" s="5"/>
      <c r="AT37" s="5"/>
      <c r="AU37" s="5"/>
      <c r="AV37" s="5"/>
      <c r="AW37" s="5"/>
      <c r="AX37" s="5"/>
      <c r="AY37" s="5"/>
      <c r="AZ37" s="6"/>
      <c r="BA37" s="6"/>
      <c r="BB37" s="6"/>
      <c r="BC37" s="6"/>
      <c r="BD37" s="6"/>
      <c r="BE37" s="6"/>
      <c r="BF37" s="6"/>
      <c r="BG37" s="6"/>
      <c r="BH37" s="6"/>
      <c r="BI37" s="6"/>
      <c r="BJ37" s="6"/>
      <c r="BK37" s="6"/>
      <c r="BL37" s="6"/>
      <c r="BM37" s="6"/>
      <c r="BN37" s="7"/>
      <c r="BO37" s="7"/>
      <c r="BP37" s="7"/>
      <c r="BQ37" s="7"/>
      <c r="BR37" s="8"/>
      <c r="BS37" s="8"/>
      <c r="CB37" s="9"/>
      <c r="CC37" s="9"/>
      <c r="CD37" s="9"/>
      <c r="CE37" s="9"/>
    </row>
    <row r="38" spans="2:83">
      <c r="B38" s="30" t="s">
        <v>243</v>
      </c>
      <c r="C38" s="192">
        <v>367362.824618352</v>
      </c>
      <c r="D38" s="191"/>
      <c r="E38" s="191"/>
      <c r="F38" s="191"/>
      <c r="G38" s="190">
        <v>0.33886943489325194</v>
      </c>
      <c r="H38" s="193">
        <v>65569.3858844723</v>
      </c>
      <c r="I38" s="191">
        <f t="shared" si="5"/>
        <v>17.848672073063298</v>
      </c>
      <c r="J38" s="192">
        <v>225796.03047386801</v>
      </c>
      <c r="K38" s="191">
        <f t="shared" si="6"/>
        <v>61.464039184815256</v>
      </c>
      <c r="L38" s="193">
        <v>42243.967214278899</v>
      </c>
      <c r="M38" s="191">
        <f t="shared" si="7"/>
        <v>11.499249347879866</v>
      </c>
      <c r="N38" s="193">
        <v>38896.189456170199</v>
      </c>
      <c r="O38" s="191">
        <f t="shared" si="8"/>
        <v>10.587949256046498</v>
      </c>
      <c r="P38" s="184">
        <v>1.43563037817799</v>
      </c>
      <c r="Q38" s="189">
        <v>18.5</v>
      </c>
      <c r="R38" s="3"/>
      <c r="S38" s="189">
        <v>18.37</v>
      </c>
      <c r="T38" s="186">
        <v>2.7785299999999999</v>
      </c>
      <c r="U38" s="194">
        <v>125861</v>
      </c>
      <c r="V38" s="195">
        <v>-5593.6564212109161</v>
      </c>
      <c r="W38" s="195">
        <f t="shared" si="9"/>
        <v>-4.4443127110152592</v>
      </c>
      <c r="X38" s="195">
        <v>37.184506620000001</v>
      </c>
      <c r="Y38" s="195">
        <f t="shared" si="10"/>
        <v>2.9544105497334362E-2</v>
      </c>
      <c r="Z38" s="195">
        <v>-5003.9242945280912</v>
      </c>
      <c r="AA38" s="195">
        <f t="shared" si="11"/>
        <v>-3.9757544390463218</v>
      </c>
      <c r="AB38" s="195">
        <v>552.54762006282465</v>
      </c>
      <c r="AC38" s="195">
        <f t="shared" si="12"/>
        <v>0.43901416647160335</v>
      </c>
      <c r="AD38" s="194">
        <v>41999</v>
      </c>
      <c r="AE38" s="195">
        <v>7.9335904885319106</v>
      </c>
      <c r="AF38" s="195"/>
      <c r="AG38" s="195"/>
      <c r="AH38" s="194">
        <v>4922.9932102723978</v>
      </c>
      <c r="AI38" s="195">
        <f t="shared" si="4"/>
        <v>3.9114524835114914</v>
      </c>
      <c r="AJ38" s="5"/>
      <c r="AK38" s="5"/>
      <c r="AL38" s="5"/>
      <c r="AM38" s="5"/>
      <c r="AN38" s="5"/>
      <c r="AO38" s="5"/>
      <c r="AP38" s="5"/>
      <c r="AQ38" s="5"/>
      <c r="AR38" s="5"/>
      <c r="AS38" s="5"/>
      <c r="AT38" s="5"/>
      <c r="AU38" s="5"/>
      <c r="AV38" s="5"/>
      <c r="AW38" s="5"/>
      <c r="AX38" s="5"/>
      <c r="AY38" s="5"/>
      <c r="AZ38" s="6"/>
      <c r="BA38" s="6"/>
      <c r="BB38" s="6"/>
      <c r="BC38" s="6"/>
      <c r="BD38" s="6"/>
      <c r="BE38" s="6"/>
      <c r="BF38" s="6"/>
      <c r="BG38" s="6"/>
      <c r="BH38" s="6"/>
      <c r="BI38" s="6"/>
      <c r="BJ38" s="6"/>
      <c r="BK38" s="6"/>
      <c r="BL38" s="6"/>
      <c r="BM38" s="6"/>
      <c r="BN38" s="7"/>
      <c r="BO38" s="7"/>
      <c r="BP38" s="7"/>
      <c r="BQ38" s="7"/>
      <c r="BR38" s="8"/>
      <c r="BS38" s="8"/>
      <c r="CB38" s="9"/>
      <c r="CC38" s="9"/>
      <c r="CD38" s="9"/>
      <c r="CE38" s="9"/>
    </row>
    <row r="39" spans="2:83">
      <c r="B39" s="30" t="s">
        <v>244</v>
      </c>
      <c r="C39" s="192">
        <v>379794.53163539601</v>
      </c>
      <c r="D39" s="191"/>
      <c r="E39" s="191"/>
      <c r="F39" s="191"/>
      <c r="G39" s="190">
        <v>1.282683741039925</v>
      </c>
      <c r="H39" s="193">
        <v>67911.940693721903</v>
      </c>
      <c r="I39" s="191">
        <f t="shared" si="5"/>
        <v>17.881231833774162</v>
      </c>
      <c r="J39" s="192">
        <v>233655.44219649199</v>
      </c>
      <c r="K39" s="191">
        <f t="shared" si="6"/>
        <v>61.521539341383132</v>
      </c>
      <c r="L39" s="193">
        <v>56182.411484304997</v>
      </c>
      <c r="M39" s="191">
        <f t="shared" si="7"/>
        <v>14.792843710093303</v>
      </c>
      <c r="N39" s="193">
        <v>65893.982297419207</v>
      </c>
      <c r="O39" s="191">
        <f t="shared" si="8"/>
        <v>17.34990285765295</v>
      </c>
      <c r="P39" s="184">
        <v>2.5808940954544966</v>
      </c>
      <c r="Q39" s="189">
        <v>18</v>
      </c>
      <c r="R39" s="3"/>
      <c r="S39" s="189">
        <v>18.010000000000002</v>
      </c>
      <c r="T39" s="186">
        <v>3.5753500000000003</v>
      </c>
      <c r="U39" s="194">
        <v>131024</v>
      </c>
      <c r="V39" s="195">
        <v>539.47166965123972</v>
      </c>
      <c r="W39" s="195">
        <f t="shared" si="9"/>
        <v>0.41173500248140776</v>
      </c>
      <c r="X39" s="195">
        <v>21.539327369999995</v>
      </c>
      <c r="Y39" s="195">
        <f t="shared" si="10"/>
        <v>1.6439222867566244E-2</v>
      </c>
      <c r="Z39" s="195">
        <v>1482.2685667112435</v>
      </c>
      <c r="AA39" s="195">
        <f t="shared" si="11"/>
        <v>1.1312954624429443</v>
      </c>
      <c r="AB39" s="195">
        <v>921.25756969000372</v>
      </c>
      <c r="AC39" s="195">
        <f t="shared" si="12"/>
        <v>0.70312123709397034</v>
      </c>
      <c r="AD39" s="194">
        <v>38381</v>
      </c>
      <c r="AE39" s="195">
        <v>7.4149132856405968</v>
      </c>
      <c r="AF39" s="195"/>
      <c r="AG39" s="195"/>
      <c r="AH39" s="194">
        <v>3042.6829523242113</v>
      </c>
      <c r="AI39" s="195">
        <f t="shared" si="4"/>
        <v>2.3222332949110176</v>
      </c>
      <c r="AJ39" s="5"/>
      <c r="AK39" s="5"/>
      <c r="AL39" s="5"/>
      <c r="AM39" s="5"/>
      <c r="AN39" s="5"/>
      <c r="AO39" s="5"/>
      <c r="AP39" s="5"/>
      <c r="AQ39" s="5"/>
      <c r="AR39" s="5"/>
      <c r="AS39" s="5"/>
      <c r="AT39" s="5"/>
      <c r="AU39" s="5"/>
      <c r="AV39" s="5"/>
      <c r="AW39" s="5"/>
      <c r="AX39" s="5"/>
      <c r="AY39" s="5"/>
      <c r="AZ39" s="6"/>
      <c r="BA39" s="6"/>
      <c r="BB39" s="6"/>
      <c r="BC39" s="6"/>
      <c r="BD39" s="6"/>
      <c r="BE39" s="6"/>
      <c r="BF39" s="6"/>
      <c r="BG39" s="6"/>
      <c r="BH39" s="6"/>
      <c r="BI39" s="6"/>
      <c r="BJ39" s="6"/>
      <c r="BK39" s="6"/>
      <c r="BL39" s="6"/>
      <c r="BM39" s="6"/>
      <c r="BN39" s="7"/>
      <c r="BO39" s="7"/>
      <c r="BP39" s="7"/>
      <c r="BQ39" s="7"/>
      <c r="BR39" s="8"/>
      <c r="BS39" s="8"/>
      <c r="CB39" s="9"/>
      <c r="CC39" s="9"/>
      <c r="CD39" s="9"/>
      <c r="CE39" s="9"/>
    </row>
    <row r="40" spans="2:83">
      <c r="B40" s="30" t="s">
        <v>245</v>
      </c>
      <c r="C40" s="192">
        <v>399333.23167041101</v>
      </c>
      <c r="D40" s="191"/>
      <c r="E40" s="191"/>
      <c r="F40" s="191"/>
      <c r="G40" s="190">
        <v>0.97482024557484781</v>
      </c>
      <c r="H40" s="193">
        <v>70596.483731565793</v>
      </c>
      <c r="I40" s="191">
        <f t="shared" si="5"/>
        <v>17.678589742271306</v>
      </c>
      <c r="J40" s="192">
        <v>246171.61085763099</v>
      </c>
      <c r="K40" s="191">
        <f t="shared" si="6"/>
        <v>61.645661150687381</v>
      </c>
      <c r="L40" s="193">
        <v>62154.078138154102</v>
      </c>
      <c r="M40" s="191">
        <f t="shared" si="7"/>
        <v>15.564464264134386</v>
      </c>
      <c r="N40" s="193">
        <v>72261.509033415801</v>
      </c>
      <c r="O40" s="191">
        <f t="shared" si="8"/>
        <v>18.095541092622291</v>
      </c>
      <c r="P40" s="184">
        <v>6.5615563844570488</v>
      </c>
      <c r="Q40" s="189">
        <v>25</v>
      </c>
      <c r="R40" s="3"/>
      <c r="S40" s="189">
        <v>22.66</v>
      </c>
      <c r="T40" s="186">
        <v>3.51755</v>
      </c>
      <c r="U40" s="194">
        <v>131508</v>
      </c>
      <c r="V40" s="195">
        <v>-710.23790718524265</v>
      </c>
      <c r="W40" s="195">
        <f t="shared" si="9"/>
        <v>-0.54007201629196899</v>
      </c>
      <c r="X40" s="195">
        <v>11.648380639999997</v>
      </c>
      <c r="Y40" s="195">
        <f t="shared" si="10"/>
        <v>8.8575452748121779E-3</v>
      </c>
      <c r="Z40" s="195">
        <v>21.164112716590239</v>
      </c>
      <c r="AA40" s="195">
        <f t="shared" si="11"/>
        <v>1.6093403227628918E-2</v>
      </c>
      <c r="AB40" s="195">
        <v>719.75363926183309</v>
      </c>
      <c r="AC40" s="195">
        <f t="shared" si="12"/>
        <v>0.54730787424478589</v>
      </c>
      <c r="AD40" s="194">
        <v>37823</v>
      </c>
      <c r="AE40" s="195">
        <v>7.4439777839882542</v>
      </c>
      <c r="AF40" s="195"/>
      <c r="AG40" s="195"/>
      <c r="AH40" s="194">
        <v>3901.3649575512354</v>
      </c>
      <c r="AI40" s="195">
        <f t="shared" si="4"/>
        <v>2.9666369783976911</v>
      </c>
      <c r="AJ40" s="5"/>
      <c r="AK40" s="5"/>
      <c r="AL40" s="5"/>
      <c r="AM40" s="5"/>
      <c r="AN40" s="5"/>
      <c r="AO40" s="5"/>
      <c r="AP40" s="5"/>
      <c r="AQ40" s="5"/>
      <c r="AR40" s="5"/>
      <c r="AS40" s="5"/>
      <c r="AT40" s="5"/>
      <c r="AU40" s="5"/>
      <c r="AV40" s="5"/>
      <c r="AW40" s="5"/>
      <c r="AX40" s="5"/>
      <c r="AY40" s="5"/>
      <c r="AZ40" s="6"/>
      <c r="BA40" s="6"/>
      <c r="BB40" s="6"/>
      <c r="BC40" s="6"/>
      <c r="BD40" s="6"/>
      <c r="BE40" s="6"/>
      <c r="BF40" s="6"/>
      <c r="BG40" s="6"/>
      <c r="BH40" s="6"/>
      <c r="BI40" s="6"/>
      <c r="BJ40" s="6"/>
      <c r="BK40" s="6"/>
      <c r="BL40" s="6"/>
      <c r="BM40" s="6"/>
      <c r="BN40" s="7"/>
      <c r="BO40" s="7"/>
      <c r="BP40" s="7"/>
      <c r="BQ40" s="7"/>
      <c r="BR40" s="8"/>
      <c r="BS40" s="8"/>
      <c r="CB40" s="9"/>
      <c r="CC40" s="9"/>
      <c r="CD40" s="9"/>
      <c r="CE40" s="9"/>
    </row>
    <row r="41" spans="2:83">
      <c r="B41" s="30" t="s">
        <v>238</v>
      </c>
      <c r="C41" s="192">
        <v>397241.63884881802</v>
      </c>
      <c r="D41" s="191"/>
      <c r="E41" s="191"/>
      <c r="F41" s="191"/>
      <c r="G41" s="190">
        <v>-0.35089268637746862</v>
      </c>
      <c r="H41" s="193">
        <v>70261.662972613296</v>
      </c>
      <c r="I41" s="191">
        <f t="shared" si="5"/>
        <v>17.687386240835</v>
      </c>
      <c r="J41" s="192">
        <v>257432.13367878701</v>
      </c>
      <c r="K41" s="191">
        <f t="shared" si="6"/>
        <v>64.80492186690438</v>
      </c>
      <c r="L41" s="193">
        <v>58016.298121567997</v>
      </c>
      <c r="M41" s="191">
        <f t="shared" si="7"/>
        <v>14.604787728118252</v>
      </c>
      <c r="N41" s="193">
        <v>63030.907300206003</v>
      </c>
      <c r="O41" s="191">
        <f t="shared" si="8"/>
        <v>15.867145116726867</v>
      </c>
      <c r="P41" s="184">
        <v>5.1333967388639792</v>
      </c>
      <c r="Q41" s="189">
        <v>26.5</v>
      </c>
      <c r="R41" s="3"/>
      <c r="S41" s="189">
        <v>24.78</v>
      </c>
      <c r="T41" s="186">
        <v>3.4120399999999997</v>
      </c>
      <c r="U41" s="194">
        <v>112798</v>
      </c>
      <c r="V41" s="195">
        <v>-255.89307910755633</v>
      </c>
      <c r="W41" s="195">
        <f t="shared" si="9"/>
        <v>-0.22685958891784991</v>
      </c>
      <c r="X41" s="195">
        <v>3.14385527</v>
      </c>
      <c r="Y41" s="195">
        <f t="shared" si="10"/>
        <v>2.7871551534601677E-3</v>
      </c>
      <c r="Z41" s="195">
        <v>2.3377004604145668</v>
      </c>
      <c r="AA41" s="195">
        <f t="shared" si="11"/>
        <v>2.0724662320383046E-3</v>
      </c>
      <c r="AB41" s="195">
        <v>255.08692429797088</v>
      </c>
      <c r="AC41" s="195">
        <f t="shared" si="12"/>
        <v>0.22614489999642803</v>
      </c>
      <c r="AD41" s="194">
        <v>42335</v>
      </c>
      <c r="AE41" s="195">
        <v>8.4468795329525079</v>
      </c>
      <c r="AF41" s="195"/>
      <c r="AG41" s="195"/>
      <c r="AH41" s="194">
        <v>1977.4046994144919</v>
      </c>
      <c r="AI41" s="195">
        <f t="shared" si="4"/>
        <v>1.7530494329815172</v>
      </c>
      <c r="AJ41" s="5"/>
      <c r="AK41" s="5"/>
      <c r="AL41" s="5"/>
      <c r="AM41" s="5"/>
      <c r="AN41" s="5"/>
      <c r="AO41" s="5"/>
      <c r="AP41" s="5"/>
      <c r="AQ41" s="5"/>
      <c r="AR41" s="5"/>
      <c r="AS41" s="5"/>
      <c r="AT41" s="5"/>
      <c r="AU41" s="5"/>
      <c r="AV41" s="5"/>
      <c r="AW41" s="5"/>
      <c r="AX41" s="5"/>
      <c r="AY41" s="5"/>
      <c r="AZ41" s="6"/>
      <c r="BA41" s="6"/>
      <c r="BB41" s="6"/>
      <c r="BC41" s="6"/>
      <c r="BD41" s="6"/>
      <c r="BE41" s="6"/>
      <c r="BF41" s="6"/>
      <c r="BG41" s="6"/>
      <c r="BH41" s="6"/>
      <c r="BI41" s="6"/>
      <c r="BJ41" s="6"/>
      <c r="BK41" s="6"/>
      <c r="BL41" s="6"/>
      <c r="BM41" s="6"/>
      <c r="BN41" s="7"/>
      <c r="BO41" s="7"/>
      <c r="BP41" s="7"/>
      <c r="BQ41" s="7"/>
      <c r="BR41" s="8"/>
      <c r="BS41" s="8"/>
      <c r="CB41" s="9"/>
      <c r="CC41" s="9"/>
      <c r="CD41" s="9"/>
      <c r="CE41" s="9"/>
    </row>
    <row r="42" spans="2:83">
      <c r="B42" s="30" t="s">
        <v>239</v>
      </c>
      <c r="C42" s="192">
        <v>418987.33693592797</v>
      </c>
      <c r="D42" s="191"/>
      <c r="E42" s="191"/>
      <c r="F42" s="191"/>
      <c r="G42" s="190">
        <v>-0.81772957323865691</v>
      </c>
      <c r="H42" s="193">
        <v>68695.769435214606</v>
      </c>
      <c r="I42" s="191">
        <f t="shared" si="5"/>
        <v>16.395667214572558</v>
      </c>
      <c r="J42" s="192">
        <v>260277.12008734699</v>
      </c>
      <c r="K42" s="191">
        <f t="shared" si="6"/>
        <v>62.120521825495857</v>
      </c>
      <c r="L42" s="193">
        <v>52473.844271275098</v>
      </c>
      <c r="M42" s="191">
        <f t="shared" si="7"/>
        <v>12.523969018972872</v>
      </c>
      <c r="N42" s="193">
        <v>62161.501137623702</v>
      </c>
      <c r="O42" s="191">
        <f t="shared" si="8"/>
        <v>14.836128841557212</v>
      </c>
      <c r="P42" s="184">
        <v>1.4334410512522879</v>
      </c>
      <c r="Q42" s="189">
        <v>26</v>
      </c>
      <c r="R42" s="3"/>
      <c r="S42" s="189">
        <v>23.72</v>
      </c>
      <c r="T42" s="186">
        <v>2.8752200000000001</v>
      </c>
      <c r="U42" s="194">
        <v>139278</v>
      </c>
      <c r="V42" s="195">
        <v>-73.09505808179324</v>
      </c>
      <c r="W42" s="195">
        <f t="shared" si="9"/>
        <v>-5.2481409900912733E-2</v>
      </c>
      <c r="X42" s="195">
        <v>30.443832230000002</v>
      </c>
      <c r="Y42" s="195">
        <f t="shared" si="10"/>
        <v>2.1858320933672223E-2</v>
      </c>
      <c r="Z42" s="195">
        <v>272.0116343775444</v>
      </c>
      <c r="AA42" s="195">
        <f t="shared" si="11"/>
        <v>0.1953012208514944</v>
      </c>
      <c r="AB42" s="195">
        <v>314.66286022933764</v>
      </c>
      <c r="AC42" s="195">
        <f t="shared" si="12"/>
        <v>0.22592430981873496</v>
      </c>
      <c r="AD42" s="194">
        <v>47956</v>
      </c>
      <c r="AE42" s="195">
        <v>9.318937910020832</v>
      </c>
      <c r="AF42" s="195"/>
      <c r="AG42" s="195"/>
      <c r="AH42" s="194">
        <v>1523.0845379536049</v>
      </c>
      <c r="AI42" s="195">
        <f t="shared" si="4"/>
        <v>1.0935571575938805</v>
      </c>
      <c r="AJ42" s="5"/>
      <c r="AK42" s="5"/>
      <c r="AL42" s="5"/>
      <c r="AM42" s="5"/>
      <c r="AN42" s="5"/>
      <c r="AO42" s="5"/>
      <c r="AP42" s="5"/>
      <c r="AQ42" s="5"/>
      <c r="AR42" s="5"/>
      <c r="AS42" s="5"/>
      <c r="AT42" s="5"/>
      <c r="AU42" s="5"/>
      <c r="AV42" s="5"/>
      <c r="AW42" s="5"/>
      <c r="AX42" s="5"/>
      <c r="AY42" s="5"/>
      <c r="AZ42" s="6"/>
      <c r="BA42" s="6"/>
      <c r="BB42" s="6"/>
      <c r="BC42" s="6"/>
      <c r="BD42" s="6"/>
      <c r="BE42" s="6"/>
      <c r="BF42" s="6"/>
      <c r="BG42" s="6"/>
      <c r="BH42" s="6"/>
      <c r="BI42" s="6"/>
      <c r="BJ42" s="6"/>
      <c r="BK42" s="6"/>
      <c r="BL42" s="6"/>
      <c r="BM42" s="6"/>
      <c r="BN42" s="7"/>
      <c r="BO42" s="7"/>
      <c r="BP42" s="7"/>
      <c r="BQ42" s="7"/>
      <c r="BR42" s="8"/>
      <c r="BS42" s="8"/>
      <c r="CB42" s="9"/>
      <c r="CC42" s="9"/>
      <c r="CD42" s="9"/>
      <c r="CE42" s="9"/>
    </row>
    <row r="43" spans="2:83">
      <c r="B43" s="30" t="s">
        <v>240</v>
      </c>
      <c r="C43" s="192">
        <v>439349.78158279101</v>
      </c>
      <c r="D43" s="191"/>
      <c r="E43" s="191"/>
      <c r="F43" s="191"/>
      <c r="G43" s="190">
        <v>0.86418008558317716</v>
      </c>
      <c r="H43" s="193">
        <v>71784.870827864594</v>
      </c>
      <c r="I43" s="191">
        <f t="shared" si="5"/>
        <v>16.338888474976393</v>
      </c>
      <c r="J43" s="192">
        <v>267444.743584977</v>
      </c>
      <c r="K43" s="191">
        <f t="shared" si="6"/>
        <v>60.872852291285305</v>
      </c>
      <c r="L43" s="193">
        <v>54390.654084578899</v>
      </c>
      <c r="M43" s="191">
        <f t="shared" si="7"/>
        <v>12.379806788257053</v>
      </c>
      <c r="N43" s="193">
        <v>66753.630620654498</v>
      </c>
      <c r="O43" s="191">
        <f t="shared" si="8"/>
        <v>15.193732515393421</v>
      </c>
      <c r="P43" s="184">
        <v>1.3249173650602586</v>
      </c>
      <c r="Q43" s="189">
        <v>20</v>
      </c>
      <c r="R43" s="3"/>
      <c r="S43" s="189">
        <v>19.010000000000002</v>
      </c>
      <c r="T43" s="186">
        <v>2.9179399999999998</v>
      </c>
      <c r="U43" s="194">
        <v>148703</v>
      </c>
      <c r="V43" s="195">
        <v>2815.971283778093</v>
      </c>
      <c r="W43" s="195">
        <f t="shared" si="9"/>
        <v>1.8936882805176043</v>
      </c>
      <c r="X43" s="195">
        <v>23.954437169999999</v>
      </c>
      <c r="Y43" s="195">
        <f t="shared" si="10"/>
        <v>1.610891318265267E-2</v>
      </c>
      <c r="Z43" s="195">
        <v>3519.3507269646643</v>
      </c>
      <c r="AA43" s="195">
        <f t="shared" si="11"/>
        <v>2.3666978655203086</v>
      </c>
      <c r="AB43" s="195">
        <v>679.42500601657127</v>
      </c>
      <c r="AC43" s="195">
        <f t="shared" si="12"/>
        <v>0.45690067182005162</v>
      </c>
      <c r="AD43" s="194">
        <v>52675</v>
      </c>
      <c r="AE43" s="195">
        <v>9.8959771702108075</v>
      </c>
      <c r="AF43" s="195"/>
      <c r="AG43" s="195"/>
      <c r="AH43" s="194">
        <v>2942.473303883693</v>
      </c>
      <c r="AI43" s="195">
        <f t="shared" si="4"/>
        <v>1.978758534719335</v>
      </c>
      <c r="AJ43" s="5"/>
      <c r="AK43" s="5"/>
      <c r="AL43" s="5"/>
      <c r="AM43" s="5"/>
      <c r="AN43" s="5"/>
      <c r="AO43" s="5"/>
      <c r="AP43" s="5"/>
      <c r="AQ43" s="5"/>
      <c r="AR43" s="5"/>
      <c r="AS43" s="5"/>
      <c r="AT43" s="5"/>
      <c r="AU43" s="5"/>
      <c r="AV43" s="5"/>
      <c r="AW43" s="5"/>
      <c r="AX43" s="5"/>
      <c r="AY43" s="5"/>
      <c r="AZ43" s="6"/>
      <c r="BA43" s="6"/>
      <c r="BB43" s="6"/>
      <c r="BC43" s="6"/>
      <c r="BD43" s="6"/>
      <c r="BE43" s="6"/>
      <c r="BF43" s="6"/>
      <c r="BG43" s="6"/>
      <c r="BH43" s="6"/>
      <c r="BI43" s="6"/>
      <c r="BJ43" s="6"/>
      <c r="BK43" s="6"/>
      <c r="BL43" s="6"/>
      <c r="BM43" s="6"/>
      <c r="BN43" s="7"/>
      <c r="BO43" s="7"/>
      <c r="BP43" s="7"/>
      <c r="BQ43" s="7"/>
      <c r="BR43" s="8"/>
      <c r="BS43" s="8"/>
      <c r="CB43" s="9"/>
      <c r="CC43" s="9"/>
      <c r="CD43" s="9"/>
      <c r="CE43" s="9"/>
    </row>
    <row r="44" spans="2:83">
      <c r="B44" s="30" t="s">
        <v>241</v>
      </c>
      <c r="C44" s="192">
        <v>462371.63905695302</v>
      </c>
      <c r="D44" s="191"/>
      <c r="E44" s="191"/>
      <c r="F44" s="191"/>
      <c r="G44" s="190">
        <v>1.0187868100949071</v>
      </c>
      <c r="H44" s="193">
        <v>74519.222425276501</v>
      </c>
      <c r="I44" s="191">
        <f t="shared" si="5"/>
        <v>16.116737301895267</v>
      </c>
      <c r="J44" s="192">
        <v>277306.41967630899</v>
      </c>
      <c r="K44" s="191">
        <f t="shared" si="6"/>
        <v>59.974790028622735</v>
      </c>
      <c r="L44" s="193">
        <v>57758.720548598001</v>
      </c>
      <c r="M44" s="191">
        <f t="shared" si="7"/>
        <v>12.491838960192696</v>
      </c>
      <c r="N44" s="193">
        <v>68852.294794721805</v>
      </c>
      <c r="O44" s="191">
        <f t="shared" si="8"/>
        <v>14.891115496433132</v>
      </c>
      <c r="P44" s="184">
        <v>1.1542387876862819</v>
      </c>
      <c r="Q44" s="189">
        <v>16.5</v>
      </c>
      <c r="R44" s="3"/>
      <c r="S44" s="189">
        <v>15.56</v>
      </c>
      <c r="T44" s="186">
        <v>2.9115699999999998</v>
      </c>
      <c r="U44" s="194">
        <v>158686</v>
      </c>
      <c r="V44" s="195">
        <v>-293.81012816744118</v>
      </c>
      <c r="W44" s="195">
        <f t="shared" si="9"/>
        <v>-0.18515189000128629</v>
      </c>
      <c r="X44" s="195">
        <v>25.302830180000001</v>
      </c>
      <c r="Y44" s="195">
        <f t="shared" si="10"/>
        <v>1.5945218973318378E-2</v>
      </c>
      <c r="Z44" s="195">
        <v>567.29650180580086</v>
      </c>
      <c r="AA44" s="195">
        <f t="shared" si="11"/>
        <v>0.35749625159484821</v>
      </c>
      <c r="AB44" s="195">
        <v>835.80379979324198</v>
      </c>
      <c r="AC44" s="195">
        <f t="shared" si="12"/>
        <v>0.52670292262281615</v>
      </c>
      <c r="AD44" s="194">
        <v>49296</v>
      </c>
      <c r="AE44" s="195">
        <v>8.8112750574209286</v>
      </c>
      <c r="AF44" s="195"/>
      <c r="AG44" s="195"/>
      <c r="AH44" s="194">
        <v>3680.0511297383064</v>
      </c>
      <c r="AI44" s="195">
        <f t="shared" si="4"/>
        <v>2.3190773790619881</v>
      </c>
      <c r="AJ44" s="5"/>
      <c r="AK44" s="5"/>
      <c r="AL44" s="5"/>
      <c r="AM44" s="5"/>
      <c r="AN44" s="5"/>
      <c r="AO44" s="5"/>
      <c r="AP44" s="5"/>
      <c r="AQ44" s="5"/>
      <c r="AR44" s="5"/>
      <c r="AS44" s="5"/>
      <c r="AT44" s="5"/>
      <c r="AU44" s="5"/>
      <c r="AV44" s="5"/>
      <c r="AW44" s="5"/>
      <c r="AX44" s="5"/>
      <c r="AY44" s="5"/>
      <c r="AZ44" s="6"/>
      <c r="BA44" s="6"/>
      <c r="BB44" s="6"/>
      <c r="BC44" s="6"/>
      <c r="BD44" s="6"/>
      <c r="BE44" s="6"/>
      <c r="BF44" s="6"/>
      <c r="BG44" s="6"/>
      <c r="BH44" s="6"/>
      <c r="BI44" s="6"/>
      <c r="BJ44" s="6"/>
      <c r="BK44" s="6"/>
      <c r="BL44" s="6"/>
      <c r="BM44" s="6"/>
      <c r="BN44" s="7"/>
      <c r="BO44" s="7"/>
      <c r="BP44" s="7"/>
      <c r="BQ44" s="7"/>
      <c r="BR44" s="8"/>
      <c r="BS44" s="8"/>
      <c r="CB44" s="9"/>
      <c r="CC44" s="9"/>
      <c r="CD44" s="9"/>
      <c r="CE44" s="9"/>
    </row>
    <row r="45" spans="2:83">
      <c r="B45" s="30" t="s">
        <v>234</v>
      </c>
      <c r="C45" s="192">
        <v>444783.48816083599</v>
      </c>
      <c r="D45" s="191"/>
      <c r="E45" s="191"/>
      <c r="F45" s="191"/>
      <c r="G45" s="190">
        <v>1.4748210858054334</v>
      </c>
      <c r="H45" s="193">
        <v>76797.436703896397</v>
      </c>
      <c r="I45" s="191">
        <f t="shared" si="5"/>
        <v>17.26625172653128</v>
      </c>
      <c r="J45" s="192">
        <v>274159.48622185399</v>
      </c>
      <c r="K45" s="191">
        <f t="shared" si="6"/>
        <v>61.638863294025093</v>
      </c>
      <c r="L45" s="193">
        <v>54670.139650727098</v>
      </c>
      <c r="M45" s="191">
        <f t="shared" si="7"/>
        <v>12.291404943287395</v>
      </c>
      <c r="N45" s="193">
        <v>66312.688002523093</v>
      </c>
      <c r="O45" s="191">
        <f t="shared" si="8"/>
        <v>14.908981508446665</v>
      </c>
      <c r="P45" s="184">
        <v>1.8506474574902825</v>
      </c>
      <c r="Q45" s="189">
        <v>16.25</v>
      </c>
      <c r="R45" s="3"/>
      <c r="S45" s="189">
        <v>15.11</v>
      </c>
      <c r="T45" s="186">
        <v>2.9206399999999997</v>
      </c>
      <c r="U45" s="194">
        <v>153226</v>
      </c>
      <c r="V45" s="195">
        <v>1104.2416753596726</v>
      </c>
      <c r="W45" s="195">
        <f t="shared" si="9"/>
        <v>0.72066207781947755</v>
      </c>
      <c r="X45" s="195">
        <v>22.953482880000003</v>
      </c>
      <c r="Y45" s="195">
        <f t="shared" si="10"/>
        <v>1.4980148852022505E-2</v>
      </c>
      <c r="Z45" s="195">
        <v>1600.4130897050893</v>
      </c>
      <c r="AA45" s="195">
        <f t="shared" si="11"/>
        <v>1.0444788023606237</v>
      </c>
      <c r="AB45" s="195">
        <v>473.21793146541665</v>
      </c>
      <c r="AC45" s="195">
        <f t="shared" si="12"/>
        <v>0.3088365756891237</v>
      </c>
      <c r="AD45" s="194">
        <v>51612</v>
      </c>
      <c r="AE45" s="195">
        <v>8.603534296949622</v>
      </c>
      <c r="AF45" s="195"/>
      <c r="AG45" s="195"/>
      <c r="AH45" s="194">
        <v>2733.3978445602447</v>
      </c>
      <c r="AI45" s="195">
        <f t="shared" si="4"/>
        <v>1.7838994978399518</v>
      </c>
      <c r="AJ45" s="5"/>
      <c r="AK45" s="5"/>
      <c r="AL45" s="5"/>
      <c r="AM45" s="5"/>
      <c r="AN45" s="5"/>
      <c r="AO45" s="5"/>
      <c r="AP45" s="5"/>
      <c r="AQ45" s="5"/>
      <c r="AR45" s="5"/>
      <c r="AS45" s="5"/>
      <c r="AT45" s="5"/>
      <c r="AU45" s="5"/>
      <c r="AV45" s="5"/>
      <c r="AW45" s="5"/>
      <c r="AX45" s="5"/>
      <c r="AY45" s="5"/>
      <c r="AZ45" s="6"/>
      <c r="BA45" s="6"/>
      <c r="BB45" s="6"/>
      <c r="BC45" s="6"/>
      <c r="BD45" s="6"/>
      <c r="BE45" s="6"/>
      <c r="BF45" s="6"/>
      <c r="BG45" s="6"/>
      <c r="BH45" s="6"/>
      <c r="BI45" s="6"/>
      <c r="BJ45" s="6"/>
      <c r="BK45" s="6"/>
      <c r="BL45" s="6"/>
      <c r="BM45" s="6"/>
      <c r="BN45" s="7"/>
      <c r="BO45" s="7"/>
      <c r="BP45" s="7"/>
      <c r="BQ45" s="7"/>
      <c r="BR45" s="8"/>
      <c r="BS45" s="8"/>
      <c r="CB45" s="9"/>
      <c r="CC45" s="9"/>
      <c r="CD45" s="9"/>
      <c r="CE45" s="9"/>
    </row>
    <row r="46" spans="2:83">
      <c r="B46" s="30" t="s">
        <v>235</v>
      </c>
      <c r="C46" s="192">
        <v>481794.96050372499</v>
      </c>
      <c r="D46" s="191"/>
      <c r="E46" s="191"/>
      <c r="F46" s="191"/>
      <c r="G46" s="190">
        <v>2.6894234528952454</v>
      </c>
      <c r="H46" s="193">
        <v>83337.299809878095</v>
      </c>
      <c r="I46" s="191">
        <f t="shared" si="5"/>
        <v>17.297254359561485</v>
      </c>
      <c r="J46" s="192">
        <v>284833.457873184</v>
      </c>
      <c r="K46" s="191">
        <f t="shared" si="6"/>
        <v>59.119227311009169</v>
      </c>
      <c r="L46" s="193">
        <v>63518.4939659027</v>
      </c>
      <c r="M46" s="191">
        <f t="shared" si="7"/>
        <v>13.183719045025505</v>
      </c>
      <c r="N46" s="193">
        <v>82949.566092943001</v>
      </c>
      <c r="O46" s="191">
        <f t="shared" si="8"/>
        <v>17.21677744537174</v>
      </c>
      <c r="P46" s="184">
        <v>1.5977100077067234</v>
      </c>
      <c r="Q46" s="189">
        <v>16</v>
      </c>
      <c r="R46" s="3"/>
      <c r="S46" s="189">
        <v>15.15</v>
      </c>
      <c r="T46" s="186">
        <v>3.1219600000000001</v>
      </c>
      <c r="U46" s="194">
        <v>158184</v>
      </c>
      <c r="V46" s="195">
        <v>2075.2421625863358</v>
      </c>
      <c r="W46" s="195">
        <f t="shared" si="9"/>
        <v>1.3119166050841651</v>
      </c>
      <c r="X46" s="195">
        <v>36.439262850000006</v>
      </c>
      <c r="Y46" s="195">
        <f t="shared" si="10"/>
        <v>2.3035997856926116E-2</v>
      </c>
      <c r="Z46" s="195">
        <v>2363.6103014407599</v>
      </c>
      <c r="AA46" s="195">
        <f t="shared" si="11"/>
        <v>1.4942157875896172</v>
      </c>
      <c r="AB46" s="195">
        <v>251.92887600442415</v>
      </c>
      <c r="AC46" s="195">
        <f t="shared" si="12"/>
        <v>0.15926318464852585</v>
      </c>
      <c r="AD46" s="194">
        <v>49805</v>
      </c>
      <c r="AE46" s="195">
        <v>8.048655540813737</v>
      </c>
      <c r="AF46" s="195"/>
      <c r="AG46" s="195"/>
      <c r="AH46" s="194">
        <v>1311.6648775192859</v>
      </c>
      <c r="AI46" s="195">
        <f t="shared" si="4"/>
        <v>0.8292019910479479</v>
      </c>
      <c r="AJ46" s="5"/>
      <c r="AK46" s="5"/>
      <c r="AL46" s="5"/>
      <c r="AM46" s="5"/>
      <c r="AN46" s="5"/>
      <c r="AO46" s="5"/>
      <c r="AP46" s="5"/>
      <c r="AQ46" s="5"/>
      <c r="AR46" s="5"/>
      <c r="AS46" s="5"/>
      <c r="AT46" s="5"/>
      <c r="AU46" s="5"/>
      <c r="AV46" s="5"/>
      <c r="AW46" s="5"/>
      <c r="AX46" s="5"/>
      <c r="AY46" s="5"/>
      <c r="AZ46" s="6"/>
      <c r="BA46" s="6"/>
      <c r="BB46" s="6"/>
      <c r="BC46" s="6"/>
      <c r="BD46" s="6"/>
      <c r="BE46" s="6"/>
      <c r="BF46" s="6"/>
      <c r="BG46" s="6"/>
      <c r="BH46" s="6"/>
      <c r="BI46" s="6"/>
      <c r="BJ46" s="6"/>
      <c r="BK46" s="6"/>
      <c r="BL46" s="6"/>
      <c r="BM46" s="6"/>
      <c r="BN46" s="7"/>
      <c r="BO46" s="7"/>
      <c r="BP46" s="7"/>
      <c r="BQ46" s="7"/>
      <c r="BR46" s="8"/>
      <c r="BS46" s="8"/>
      <c r="CB46" s="9"/>
      <c r="CC46" s="9"/>
      <c r="CD46" s="9"/>
      <c r="CE46" s="9"/>
    </row>
    <row r="47" spans="2:83">
      <c r="B47" s="30" t="s">
        <v>236</v>
      </c>
      <c r="C47" s="192">
        <v>505252.3183942</v>
      </c>
      <c r="D47" s="191"/>
      <c r="E47" s="191"/>
      <c r="F47" s="191"/>
      <c r="G47" s="190">
        <v>1.2856492062120806</v>
      </c>
      <c r="H47" s="193">
        <v>90684.394326577007</v>
      </c>
      <c r="I47" s="191">
        <f t="shared" si="5"/>
        <v>17.948338092696222</v>
      </c>
      <c r="J47" s="192">
        <v>301880.68700003601</v>
      </c>
      <c r="K47" s="191">
        <f t="shared" si="6"/>
        <v>59.748501097328443</v>
      </c>
      <c r="L47" s="193">
        <v>69345.691476370805</v>
      </c>
      <c r="M47" s="191">
        <f t="shared" si="7"/>
        <v>13.72496254876499</v>
      </c>
      <c r="N47" s="193">
        <v>90341.255601795405</v>
      </c>
      <c r="O47" s="191">
        <f t="shared" si="8"/>
        <v>17.880423763104986</v>
      </c>
      <c r="P47" s="184">
        <v>1.9414571982158861</v>
      </c>
      <c r="Q47" s="189">
        <v>16.25</v>
      </c>
      <c r="R47" s="3"/>
      <c r="S47" s="189">
        <v>16.03</v>
      </c>
      <c r="T47" s="186">
        <v>2.8690199999999995</v>
      </c>
      <c r="U47" s="194">
        <v>169609</v>
      </c>
      <c r="V47" s="195">
        <v>4527.3404597646895</v>
      </c>
      <c r="W47" s="195">
        <f t="shared" si="9"/>
        <v>2.6692807927437161</v>
      </c>
      <c r="X47" s="195">
        <v>-324.55046198999997</v>
      </c>
      <c r="Y47" s="195">
        <f t="shared" si="10"/>
        <v>-0.19135214640142914</v>
      </c>
      <c r="Z47" s="195">
        <v>4624.6448240395457</v>
      </c>
      <c r="AA47" s="195">
        <f t="shared" si="11"/>
        <v>2.7266506046492496</v>
      </c>
      <c r="AB47" s="195">
        <v>421.85482626485634</v>
      </c>
      <c r="AC47" s="195">
        <f t="shared" si="12"/>
        <v>0.2487219583069627</v>
      </c>
      <c r="AD47" s="194">
        <v>49496</v>
      </c>
      <c r="AE47" s="195">
        <v>7.7373164192870147</v>
      </c>
      <c r="AF47" s="195"/>
      <c r="AG47" s="195"/>
      <c r="AH47" s="194">
        <v>8320.8931786027933</v>
      </c>
      <c r="AI47" s="195">
        <f t="shared" si="4"/>
        <v>4.9059266775954065</v>
      </c>
      <c r="AJ47" s="5"/>
      <c r="AK47" s="5"/>
      <c r="AL47" s="5"/>
      <c r="AM47" s="5"/>
      <c r="AN47" s="5"/>
      <c r="AO47" s="5"/>
      <c r="AP47" s="5"/>
      <c r="AQ47" s="5"/>
      <c r="AR47" s="5"/>
      <c r="AS47" s="5"/>
      <c r="AT47" s="5"/>
      <c r="AU47" s="5"/>
      <c r="AV47" s="5"/>
      <c r="AW47" s="5"/>
      <c r="AX47" s="5"/>
      <c r="AY47" s="5"/>
      <c r="AZ47" s="6"/>
      <c r="BA47" s="6"/>
      <c r="BB47" s="6"/>
      <c r="BC47" s="6"/>
      <c r="BD47" s="6"/>
      <c r="BE47" s="6"/>
      <c r="BF47" s="6"/>
      <c r="BG47" s="6"/>
      <c r="BH47" s="6"/>
      <c r="BI47" s="6"/>
      <c r="BJ47" s="6"/>
      <c r="BK47" s="6"/>
      <c r="BL47" s="6"/>
      <c r="BM47" s="6"/>
      <c r="BN47" s="7"/>
      <c r="BO47" s="7"/>
      <c r="BP47" s="7"/>
      <c r="BQ47" s="7"/>
      <c r="BR47" s="8"/>
      <c r="BS47" s="8"/>
      <c r="CB47" s="9"/>
      <c r="CC47" s="9"/>
      <c r="CD47" s="9"/>
      <c r="CE47" s="9"/>
    </row>
    <row r="48" spans="2:83">
      <c r="B48" s="30" t="s">
        <v>237</v>
      </c>
      <c r="C48" s="192">
        <v>525920.44590380101</v>
      </c>
      <c r="D48" s="191"/>
      <c r="E48" s="191"/>
      <c r="F48" s="191"/>
      <c r="G48" s="190">
        <v>0.78921022029674326</v>
      </c>
      <c r="H48" s="193">
        <v>88267.947123490507</v>
      </c>
      <c r="I48" s="191">
        <f t="shared" si="5"/>
        <v>16.783516938916669</v>
      </c>
      <c r="J48" s="192">
        <v>317821.36410550599</v>
      </c>
      <c r="K48" s="191">
        <f t="shared" si="6"/>
        <v>60.43145243370904</v>
      </c>
      <c r="L48" s="193">
        <v>69567.176094910494</v>
      </c>
      <c r="M48" s="191">
        <f t="shared" si="7"/>
        <v>13.227699481308131</v>
      </c>
      <c r="N48" s="193">
        <v>84321.337034961398</v>
      </c>
      <c r="O48" s="191">
        <f t="shared" si="8"/>
        <v>16.033097342327906</v>
      </c>
      <c r="P48" s="184">
        <v>2.002704288593506</v>
      </c>
      <c r="Q48" s="189">
        <v>17.75</v>
      </c>
      <c r="R48" s="3"/>
      <c r="S48" s="189">
        <v>16.190000000000001</v>
      </c>
      <c r="T48" s="186">
        <v>2.6858999999999993</v>
      </c>
      <c r="U48" s="194">
        <v>188320</v>
      </c>
      <c r="V48" s="195">
        <v>1252.4890665322732</v>
      </c>
      <c r="W48" s="195">
        <f t="shared" si="9"/>
        <v>0.66508552810762178</v>
      </c>
      <c r="X48" s="195">
        <v>52.061569170000006</v>
      </c>
      <c r="Y48" s="195">
        <f t="shared" si="10"/>
        <v>2.7645268250849623E-2</v>
      </c>
      <c r="Z48" s="195">
        <v>2564.6202847680938</v>
      </c>
      <c r="AA48" s="195">
        <f t="shared" si="11"/>
        <v>1.3618416975191663</v>
      </c>
      <c r="AB48" s="195">
        <v>1260.0696490658206</v>
      </c>
      <c r="AC48" s="195">
        <f t="shared" si="12"/>
        <v>0.66911090116069483</v>
      </c>
      <c r="AD48" s="194">
        <v>52935</v>
      </c>
      <c r="AE48" s="195">
        <v>7.9085485830050244</v>
      </c>
      <c r="AF48" s="195"/>
      <c r="AG48" s="195"/>
      <c r="AH48" s="194">
        <v>5795.4245590710279</v>
      </c>
      <c r="AI48" s="195">
        <f t="shared" si="4"/>
        <v>3.077434451503307</v>
      </c>
      <c r="AJ48" s="5"/>
      <c r="AK48" s="5"/>
      <c r="AL48" s="5"/>
      <c r="AM48" s="5"/>
      <c r="AN48" s="5"/>
      <c r="AO48" s="5"/>
      <c r="AP48" s="5"/>
      <c r="AQ48" s="5"/>
      <c r="AR48" s="5"/>
      <c r="AS48" s="5"/>
      <c r="AT48" s="5"/>
      <c r="AU48" s="5"/>
      <c r="AV48" s="5"/>
      <c r="AW48" s="5"/>
      <c r="AX48" s="5"/>
      <c r="AY48" s="5"/>
      <c r="AZ48" s="6"/>
      <c r="BA48" s="6"/>
      <c r="BB48" s="6"/>
      <c r="BC48" s="6"/>
      <c r="BD48" s="6"/>
      <c r="BE48" s="6"/>
      <c r="BF48" s="6"/>
      <c r="BG48" s="6"/>
      <c r="BH48" s="6"/>
      <c r="BI48" s="6"/>
      <c r="BJ48" s="6"/>
      <c r="BK48" s="6"/>
      <c r="BL48" s="6"/>
      <c r="BM48" s="6"/>
      <c r="BN48" s="7"/>
      <c r="BO48" s="7"/>
      <c r="BP48" s="7"/>
      <c r="BQ48" s="7"/>
      <c r="BR48" s="8"/>
      <c r="BS48" s="8"/>
      <c r="CB48" s="9"/>
      <c r="CC48" s="9"/>
      <c r="CD48" s="9"/>
      <c r="CE48" s="9"/>
    </row>
    <row r="49" spans="2:83">
      <c r="B49" s="30" t="s">
        <v>230</v>
      </c>
      <c r="C49" s="192">
        <v>499710.36264053453</v>
      </c>
      <c r="D49" s="191"/>
      <c r="E49" s="191"/>
      <c r="F49" s="191"/>
      <c r="G49" s="190">
        <v>0.83557596923229394</v>
      </c>
      <c r="H49" s="193">
        <v>85393.595486497972</v>
      </c>
      <c r="I49" s="191">
        <f t="shared" si="5"/>
        <v>17.088618101747404</v>
      </c>
      <c r="J49" s="192">
        <v>308544.14049293782</v>
      </c>
      <c r="K49" s="191">
        <f t="shared" si="6"/>
        <v>61.744595181606897</v>
      </c>
      <c r="L49" s="193">
        <v>61656.457846381491</v>
      </c>
      <c r="M49" s="191">
        <f t="shared" si="7"/>
        <v>12.338438915010839</v>
      </c>
      <c r="N49" s="193">
        <v>77093.39730866185</v>
      </c>
      <c r="O49" s="191">
        <f t="shared" si="8"/>
        <v>15.427616289822431</v>
      </c>
      <c r="P49" s="184">
        <v>1.790389008387109</v>
      </c>
      <c r="Q49" s="189">
        <v>19.25</v>
      </c>
      <c r="R49" s="3"/>
      <c r="S49" s="189">
        <v>17.510000000000002</v>
      </c>
      <c r="T49" s="186">
        <v>2.7162500000000001</v>
      </c>
      <c r="U49" s="194">
        <v>186355</v>
      </c>
      <c r="V49" s="195">
        <v>2144.9915703122419</v>
      </c>
      <c r="W49" s="195">
        <f t="shared" si="9"/>
        <v>1.1510244266653655</v>
      </c>
      <c r="X49" s="195">
        <v>31.496171140000001</v>
      </c>
      <c r="Y49" s="195">
        <f t="shared" si="10"/>
        <v>1.6901167738992785E-2</v>
      </c>
      <c r="Z49" s="195">
        <v>3092.9369909031084</v>
      </c>
      <c r="AA49" s="195">
        <f t="shared" si="11"/>
        <v>1.6597016398288793</v>
      </c>
      <c r="AB49" s="195">
        <v>916.44924945086655</v>
      </c>
      <c r="AC49" s="195">
        <f t="shared" si="12"/>
        <v>0.49177604542452119</v>
      </c>
      <c r="AD49" s="194">
        <v>61960</v>
      </c>
      <c r="AE49" s="195">
        <v>8.820330605806955</v>
      </c>
      <c r="AF49" s="195"/>
      <c r="AG49" s="195"/>
      <c r="AH49" s="194">
        <v>3452.1027224747368</v>
      </c>
      <c r="AI49" s="195">
        <f t="shared" si="4"/>
        <v>1.8524336467895881</v>
      </c>
      <c r="AJ49" s="5"/>
      <c r="AK49" s="5"/>
      <c r="AL49" s="5"/>
      <c r="AM49" s="5"/>
      <c r="AN49" s="5"/>
      <c r="AO49" s="5"/>
      <c r="AP49" s="5"/>
      <c r="AQ49" s="5"/>
      <c r="AR49" s="5"/>
      <c r="AS49" s="5"/>
      <c r="AT49" s="5"/>
      <c r="AU49" s="5"/>
      <c r="AV49" s="5"/>
      <c r="AW49" s="5"/>
      <c r="AX49" s="5"/>
      <c r="AY49" s="5"/>
      <c r="AZ49" s="6"/>
      <c r="BA49" s="6"/>
      <c r="BB49" s="6"/>
      <c r="BC49" s="6"/>
      <c r="BD49" s="6"/>
      <c r="BE49" s="6"/>
      <c r="BF49" s="6"/>
      <c r="BG49" s="6"/>
      <c r="BH49" s="6"/>
      <c r="BI49" s="6"/>
      <c r="BJ49" s="6"/>
      <c r="BK49" s="6"/>
      <c r="BL49" s="6"/>
      <c r="BM49" s="6"/>
      <c r="BN49" s="7"/>
      <c r="BO49" s="7"/>
      <c r="BP49" s="7"/>
      <c r="BQ49" s="7"/>
      <c r="BR49" s="8"/>
      <c r="BS49" s="8"/>
      <c r="CB49" s="9"/>
      <c r="CC49" s="9"/>
      <c r="CD49" s="9"/>
      <c r="CE49" s="9"/>
    </row>
    <row r="50" spans="2:83">
      <c r="B50" s="30" t="s">
        <v>231</v>
      </c>
      <c r="C50" s="192">
        <v>535557.41787444905</v>
      </c>
      <c r="D50" s="191"/>
      <c r="E50" s="191"/>
      <c r="F50" s="191"/>
      <c r="G50" s="190">
        <v>1.0605497144608345</v>
      </c>
      <c r="H50" s="193">
        <v>92729.202997842061</v>
      </c>
      <c r="I50" s="191">
        <f t="shared" si="5"/>
        <v>17.314521263820982</v>
      </c>
      <c r="J50" s="192">
        <v>321751.90067450941</v>
      </c>
      <c r="K50" s="191">
        <f t="shared" si="6"/>
        <v>60.077946815020653</v>
      </c>
      <c r="L50" s="193">
        <v>64901.734888517218</v>
      </c>
      <c r="M50" s="191">
        <f t="shared" si="7"/>
        <v>12.118539062740078</v>
      </c>
      <c r="N50" s="193">
        <v>82694.057278273656</v>
      </c>
      <c r="O50" s="191">
        <f t="shared" si="8"/>
        <v>15.440745383842232</v>
      </c>
      <c r="P50" s="184">
        <v>1.3436423724440658</v>
      </c>
      <c r="Q50" s="189">
        <v>19.75</v>
      </c>
      <c r="R50" s="3"/>
      <c r="S50" s="189">
        <v>17.79</v>
      </c>
      <c r="T50" s="186">
        <v>2.3758900000000001</v>
      </c>
      <c r="U50" s="194">
        <v>214308</v>
      </c>
      <c r="V50" s="195">
        <v>1968.7138161152336</v>
      </c>
      <c r="W50" s="195">
        <f t="shared" si="9"/>
        <v>0.91863757587921746</v>
      </c>
      <c r="X50" s="195">
        <v>129.15296341999999</v>
      </c>
      <c r="Y50" s="195">
        <f t="shared" si="10"/>
        <v>6.0265115357336169E-2</v>
      </c>
      <c r="Z50" s="195">
        <v>2980.1048479817782</v>
      </c>
      <c r="AA50" s="195">
        <f t="shared" si="11"/>
        <v>1.3905709763432901</v>
      </c>
      <c r="AB50" s="195">
        <v>882.23806844654484</v>
      </c>
      <c r="AC50" s="195">
        <f t="shared" si="12"/>
        <v>0.41166828510673648</v>
      </c>
      <c r="AD50" s="194">
        <v>59885</v>
      </c>
      <c r="AE50" s="195">
        <v>7.8942303636210243</v>
      </c>
      <c r="AF50" s="195"/>
      <c r="AG50" s="195"/>
      <c r="AH50" s="194">
        <v>5186.8962004773493</v>
      </c>
      <c r="AI50" s="195">
        <f t="shared" si="4"/>
        <v>2.4202998490384631</v>
      </c>
      <c r="AJ50" s="5"/>
      <c r="AK50" s="5"/>
      <c r="AL50" s="5"/>
      <c r="AM50" s="5"/>
      <c r="AN50" s="5"/>
      <c r="AO50" s="5"/>
      <c r="AP50" s="5"/>
      <c r="AQ50" s="5"/>
      <c r="AR50" s="5"/>
      <c r="AS50" s="5"/>
      <c r="AT50" s="5"/>
      <c r="AU50" s="5"/>
      <c r="AV50" s="5"/>
      <c r="AW50" s="5"/>
      <c r="AX50" s="5"/>
      <c r="AY50" s="5"/>
      <c r="AZ50" s="6"/>
      <c r="BA50" s="6"/>
      <c r="BB50" s="6"/>
      <c r="BC50" s="6"/>
      <c r="BD50" s="6"/>
      <c r="BE50" s="6"/>
      <c r="BF50" s="6"/>
      <c r="BG50" s="6"/>
      <c r="BH50" s="6"/>
      <c r="BI50" s="6"/>
      <c r="BJ50" s="6"/>
      <c r="BK50" s="6"/>
      <c r="BL50" s="6"/>
      <c r="BM50" s="6"/>
      <c r="BN50" s="7"/>
      <c r="BO50" s="7"/>
      <c r="BP50" s="7"/>
      <c r="BQ50" s="7"/>
      <c r="BR50" s="8"/>
      <c r="BS50" s="8"/>
      <c r="CB50" s="9"/>
      <c r="CC50" s="9"/>
      <c r="CD50" s="9"/>
      <c r="CE50" s="9"/>
    </row>
    <row r="51" spans="2:83">
      <c r="B51" s="30" t="s">
        <v>232</v>
      </c>
      <c r="C51" s="192">
        <v>552859.15516327345</v>
      </c>
      <c r="D51" s="191"/>
      <c r="E51" s="191"/>
      <c r="F51" s="191"/>
      <c r="G51" s="190">
        <v>-0.51545408607214238</v>
      </c>
      <c r="H51" s="193">
        <v>96633.965900830328</v>
      </c>
      <c r="I51" s="191">
        <f t="shared" si="5"/>
        <v>17.478948299642763</v>
      </c>
      <c r="J51" s="192">
        <v>332896.02806745522</v>
      </c>
      <c r="K51" s="191">
        <f t="shared" si="6"/>
        <v>60.213532679791207</v>
      </c>
      <c r="L51" s="193">
        <v>66124.955654476536</v>
      </c>
      <c r="M51" s="191">
        <f t="shared" si="7"/>
        <v>11.960542759746494</v>
      </c>
      <c r="N51" s="193">
        <v>88086.500529061668</v>
      </c>
      <c r="O51" s="191">
        <f t="shared" si="8"/>
        <v>15.932900758973137</v>
      </c>
      <c r="P51" s="184">
        <v>0.77222105484345605</v>
      </c>
      <c r="Q51" s="189">
        <v>19.5</v>
      </c>
      <c r="R51" s="3"/>
      <c r="S51" s="189">
        <v>18.239999999999998</v>
      </c>
      <c r="T51" s="186">
        <v>2.2612899999999998</v>
      </c>
      <c r="U51" s="194">
        <v>234161</v>
      </c>
      <c r="V51" s="195">
        <v>5046.8702740345634</v>
      </c>
      <c r="W51" s="195">
        <f t="shared" si="9"/>
        <v>2.1552992488222049</v>
      </c>
      <c r="X51" s="195">
        <v>82.955448489999981</v>
      </c>
      <c r="Y51" s="195">
        <f t="shared" si="10"/>
        <v>3.5426671602017408E-2</v>
      </c>
      <c r="Z51" s="195">
        <v>6100.463551216525</v>
      </c>
      <c r="AA51" s="195">
        <f t="shared" si="11"/>
        <v>2.6052432092519782</v>
      </c>
      <c r="AB51" s="195">
        <v>970.63782869196189</v>
      </c>
      <c r="AC51" s="195">
        <f t="shared" si="12"/>
        <v>0.41451728882775607</v>
      </c>
      <c r="AD51" s="194">
        <v>57008</v>
      </c>
      <c r="AE51" s="195">
        <v>6.9256412000816381</v>
      </c>
      <c r="AF51" s="195"/>
      <c r="AG51" s="195"/>
      <c r="AH51" s="194">
        <v>3208.8925722807735</v>
      </c>
      <c r="AI51" s="195">
        <f t="shared" si="4"/>
        <v>1.37037874465892</v>
      </c>
      <c r="AJ51" s="5"/>
      <c r="AK51" s="5"/>
      <c r="AL51" s="5"/>
      <c r="AM51" s="5"/>
      <c r="AN51" s="5"/>
      <c r="AO51" s="5"/>
      <c r="AP51" s="5"/>
      <c r="AQ51" s="5"/>
      <c r="AR51" s="5"/>
      <c r="AS51" s="5"/>
      <c r="AT51" s="5"/>
      <c r="AU51" s="5"/>
      <c r="AV51" s="5"/>
      <c r="AW51" s="5"/>
      <c r="AX51" s="5"/>
      <c r="AY51" s="5"/>
      <c r="AZ51" s="6"/>
      <c r="BA51" s="6"/>
      <c r="BB51" s="6"/>
      <c r="BC51" s="6"/>
      <c r="BD51" s="6"/>
      <c r="BE51" s="6"/>
      <c r="BF51" s="6"/>
      <c r="BG51" s="6"/>
      <c r="BH51" s="6"/>
      <c r="BI51" s="6"/>
      <c r="BJ51" s="6"/>
      <c r="BK51" s="6"/>
      <c r="BL51" s="6"/>
      <c r="BM51" s="6"/>
      <c r="BN51" s="7"/>
      <c r="BO51" s="7"/>
      <c r="BP51" s="7"/>
      <c r="BQ51" s="7"/>
      <c r="BR51" s="8"/>
      <c r="BS51" s="8"/>
      <c r="CB51" s="9"/>
      <c r="CC51" s="9"/>
      <c r="CD51" s="9"/>
      <c r="CE51" s="9"/>
    </row>
    <row r="52" spans="2:83">
      <c r="B52" s="30" t="s">
        <v>233</v>
      </c>
      <c r="C52" s="192">
        <v>582457.56779751298</v>
      </c>
      <c r="D52" s="191"/>
      <c r="E52" s="191"/>
      <c r="F52" s="191"/>
      <c r="G52" s="190">
        <v>1.3050090475910991</v>
      </c>
      <c r="H52" s="193">
        <v>95462.110685424501</v>
      </c>
      <c r="I52" s="191">
        <f t="shared" si="5"/>
        <v>16.389539077739514</v>
      </c>
      <c r="J52" s="192">
        <v>350103.8444697698</v>
      </c>
      <c r="K52" s="191">
        <f t="shared" si="6"/>
        <v>60.108042856004374</v>
      </c>
      <c r="L52" s="193">
        <v>64378.435057935552</v>
      </c>
      <c r="M52" s="191">
        <f t="shared" si="7"/>
        <v>11.052897003531806</v>
      </c>
      <c r="N52" s="193">
        <v>83006.240650019608</v>
      </c>
      <c r="O52" s="191">
        <f t="shared" si="8"/>
        <v>14.251036511362852</v>
      </c>
      <c r="P52" s="184">
        <v>1.6685446649477313</v>
      </c>
      <c r="Q52" s="189">
        <v>18</v>
      </c>
      <c r="R52" s="3"/>
      <c r="S52" s="189">
        <v>16.55</v>
      </c>
      <c r="T52" s="186">
        <v>2.3412899999999994</v>
      </c>
      <c r="U52" s="194">
        <v>257208</v>
      </c>
      <c r="V52" s="195">
        <v>2518.7992816555557</v>
      </c>
      <c r="W52" s="195">
        <f t="shared" si="9"/>
        <v>0.97928496845181945</v>
      </c>
      <c r="X52" s="195">
        <v>-56.560091270000001</v>
      </c>
      <c r="Y52" s="195">
        <f t="shared" si="10"/>
        <v>-2.1990020244315883E-2</v>
      </c>
      <c r="Z52" s="195">
        <v>3030.8091978262482</v>
      </c>
      <c r="AA52" s="195">
        <f t="shared" si="11"/>
        <v>1.1783495061686449</v>
      </c>
      <c r="AB52" s="195">
        <v>568.57000744069273</v>
      </c>
      <c r="AC52" s="195">
        <f t="shared" si="12"/>
        <v>0.22105455796114148</v>
      </c>
      <c r="AD52" s="194">
        <v>53799</v>
      </c>
      <c r="AE52" s="195">
        <v>6.0310616659492036</v>
      </c>
      <c r="AF52" s="195"/>
      <c r="AG52" s="195"/>
      <c r="AH52" s="194">
        <v>3612.0901088867604</v>
      </c>
      <c r="AI52" s="195">
        <f t="shared" si="4"/>
        <v>1.4043459413730368</v>
      </c>
      <c r="AJ52" s="5"/>
      <c r="AK52" s="5"/>
      <c r="AL52" s="5"/>
      <c r="AM52" s="5"/>
      <c r="AN52" s="5"/>
      <c r="AO52" s="5"/>
      <c r="AP52" s="5"/>
      <c r="AQ52" s="5"/>
      <c r="AR52" s="5"/>
      <c r="AS52" s="5"/>
      <c r="AT52" s="5"/>
      <c r="AU52" s="5"/>
      <c r="AV52" s="5"/>
      <c r="AW52" s="5"/>
      <c r="AX52" s="5"/>
      <c r="AY52" s="5"/>
      <c r="AZ52" s="6"/>
      <c r="BA52" s="6"/>
      <c r="BB52" s="6"/>
      <c r="BC52" s="6"/>
      <c r="BD52" s="6"/>
      <c r="BE52" s="6"/>
      <c r="BF52" s="6"/>
      <c r="BG52" s="6"/>
      <c r="BH52" s="6"/>
      <c r="BI52" s="6"/>
      <c r="BJ52" s="6"/>
      <c r="BK52" s="6"/>
      <c r="BL52" s="6"/>
      <c r="BM52" s="6"/>
      <c r="BN52" s="7"/>
      <c r="BO52" s="7"/>
      <c r="BP52" s="7"/>
      <c r="BQ52" s="7"/>
      <c r="BR52" s="8"/>
      <c r="BS52" s="8"/>
      <c r="CB52" s="9"/>
      <c r="CC52" s="9"/>
      <c r="CD52" s="9"/>
      <c r="CE52" s="9"/>
    </row>
    <row r="53" spans="2:83">
      <c r="B53" s="30" t="s">
        <v>226</v>
      </c>
      <c r="C53" s="192">
        <v>554270.46553069737</v>
      </c>
      <c r="D53" s="191"/>
      <c r="E53" s="191"/>
      <c r="F53" s="191"/>
      <c r="G53" s="190">
        <v>1.4525752380098123</v>
      </c>
      <c r="H53" s="193">
        <v>96723.077351536092</v>
      </c>
      <c r="I53" s="191">
        <f t="shared" si="5"/>
        <v>17.450519803346666</v>
      </c>
      <c r="J53" s="192">
        <v>345001.78731142374</v>
      </c>
      <c r="K53" s="191">
        <f t="shared" si="6"/>
        <v>62.244302874968248</v>
      </c>
      <c r="L53" s="193">
        <v>62789.83516804695</v>
      </c>
      <c r="M53" s="191">
        <f t="shared" si="7"/>
        <v>11.328374696625332</v>
      </c>
      <c r="N53" s="193">
        <v>76051.282860439984</v>
      </c>
      <c r="O53" s="191">
        <f t="shared" si="8"/>
        <v>13.720969741301866</v>
      </c>
      <c r="P53" s="184">
        <v>1.4368541453025188</v>
      </c>
      <c r="Q53" s="189">
        <v>16.5</v>
      </c>
      <c r="R53" s="3"/>
      <c r="S53" s="189">
        <v>15.24</v>
      </c>
      <c r="T53" s="186">
        <v>2.1761000000000004</v>
      </c>
      <c r="U53" s="194">
        <v>251891</v>
      </c>
      <c r="V53" s="195">
        <v>943.28020742664171</v>
      </c>
      <c r="W53" s="195">
        <f t="shared" si="9"/>
        <v>0.37447951988226724</v>
      </c>
      <c r="X53" s="195">
        <v>17.618803959999997</v>
      </c>
      <c r="Y53" s="195">
        <f t="shared" si="10"/>
        <v>6.9946143212738839E-3</v>
      </c>
      <c r="Z53" s="195">
        <v>1955.0693351155921</v>
      </c>
      <c r="AA53" s="195">
        <f t="shared" si="11"/>
        <v>0.77615688338034794</v>
      </c>
      <c r="AB53" s="195">
        <v>994.17032372895039</v>
      </c>
      <c r="AC53" s="195">
        <f t="shared" si="12"/>
        <v>0.39468274917680679</v>
      </c>
      <c r="AD53" s="194">
        <v>59824</v>
      </c>
      <c r="AE53" s="195">
        <v>6.2474936505814735</v>
      </c>
      <c r="AF53" s="195"/>
      <c r="AG53" s="195"/>
      <c r="AH53" s="194">
        <v>4061.6877429394704</v>
      </c>
      <c r="AI53" s="195">
        <f t="shared" si="4"/>
        <v>1.612478311229647</v>
      </c>
      <c r="AJ53" s="5"/>
      <c r="AK53" s="5"/>
      <c r="AL53" s="5"/>
      <c r="AM53" s="5"/>
      <c r="AN53" s="5"/>
      <c r="AO53" s="5"/>
      <c r="AP53" s="5"/>
      <c r="AQ53" s="5"/>
      <c r="AR53" s="5"/>
      <c r="AS53" s="5"/>
      <c r="AT53" s="5"/>
      <c r="AU53" s="5"/>
      <c r="AV53" s="5"/>
      <c r="AW53" s="5"/>
      <c r="AX53" s="5"/>
      <c r="AY53" s="5"/>
      <c r="AZ53" s="6"/>
      <c r="BA53" s="6"/>
      <c r="BB53" s="6"/>
      <c r="BC53" s="6"/>
      <c r="BD53" s="6"/>
      <c r="BE53" s="6"/>
      <c r="BF53" s="6"/>
      <c r="BG53" s="6"/>
      <c r="BH53" s="6"/>
      <c r="BI53" s="6"/>
      <c r="BJ53" s="6"/>
      <c r="BK53" s="6"/>
      <c r="BL53" s="6"/>
      <c r="BM53" s="6"/>
      <c r="BN53" s="7"/>
      <c r="BO53" s="7"/>
      <c r="BP53" s="7"/>
      <c r="BQ53" s="7"/>
      <c r="BR53" s="8"/>
      <c r="BS53" s="8"/>
      <c r="CB53" s="9"/>
      <c r="CC53" s="9"/>
      <c r="CD53" s="9"/>
      <c r="CE53" s="9"/>
    </row>
    <row r="54" spans="2:83">
      <c r="B54" s="30" t="s">
        <v>227</v>
      </c>
      <c r="C54" s="192">
        <v>581976.85616222583</v>
      </c>
      <c r="D54" s="191"/>
      <c r="E54" s="191"/>
      <c r="F54" s="191"/>
      <c r="G54" s="190">
        <v>0.41378947646388831</v>
      </c>
      <c r="H54" s="193">
        <v>100732.55751315579</v>
      </c>
      <c r="I54" s="191">
        <f t="shared" si="5"/>
        <v>17.308687870755573</v>
      </c>
      <c r="J54" s="192">
        <v>355817.07104369107</v>
      </c>
      <c r="K54" s="191">
        <f t="shared" si="6"/>
        <v>61.139385059069639</v>
      </c>
      <c r="L54" s="193">
        <v>66711.641897395239</v>
      </c>
      <c r="M54" s="191">
        <f t="shared" si="7"/>
        <v>11.462937261340061</v>
      </c>
      <c r="N54" s="193">
        <v>79741.782620916187</v>
      </c>
      <c r="O54" s="191">
        <f t="shared" si="8"/>
        <v>13.701882089738668</v>
      </c>
      <c r="P54" s="184">
        <v>9.9540016253016006E-2</v>
      </c>
      <c r="Q54" s="189">
        <v>15.25</v>
      </c>
      <c r="R54" s="3"/>
      <c r="S54" s="189">
        <v>14.29</v>
      </c>
      <c r="T54" s="186">
        <v>2.2268300000000001</v>
      </c>
      <c r="U54" s="194">
        <v>266195</v>
      </c>
      <c r="V54" s="195">
        <v>458.09904802296495</v>
      </c>
      <c r="W54" s="195">
        <f t="shared" si="9"/>
        <v>0.17209152990212623</v>
      </c>
      <c r="X54" s="195">
        <v>48.972944320000003</v>
      </c>
      <c r="Y54" s="195">
        <f t="shared" si="10"/>
        <v>1.8397394511542292E-2</v>
      </c>
      <c r="Z54" s="195">
        <v>911.93766194202271</v>
      </c>
      <c r="AA54" s="195">
        <f t="shared" si="11"/>
        <v>0.3425825661421224</v>
      </c>
      <c r="AB54" s="195">
        <v>404.86566959905781</v>
      </c>
      <c r="AC54" s="195">
        <f t="shared" si="12"/>
        <v>0.15209364172845388</v>
      </c>
      <c r="AD54" s="194">
        <v>62670</v>
      </c>
      <c r="AE54" s="195">
        <v>6.2083005185966682</v>
      </c>
      <c r="AF54" s="195"/>
      <c r="AG54" s="195"/>
      <c r="AH54" s="194">
        <v>3465.9428821219162</v>
      </c>
      <c r="AI54" s="195">
        <f t="shared" si="4"/>
        <v>1.302031549098186</v>
      </c>
      <c r="AJ54" s="5"/>
      <c r="AK54" s="5"/>
      <c r="AL54" s="5"/>
      <c r="AM54" s="5"/>
      <c r="AN54" s="5"/>
      <c r="AO54" s="5"/>
      <c r="AP54" s="5"/>
      <c r="AQ54" s="5"/>
      <c r="AR54" s="5"/>
      <c r="AS54" s="5"/>
      <c r="AT54" s="5"/>
      <c r="AU54" s="5"/>
      <c r="AV54" s="5"/>
      <c r="AW54" s="5"/>
      <c r="AX54" s="5"/>
      <c r="AY54" s="5"/>
      <c r="AZ54" s="6"/>
      <c r="BA54" s="6"/>
      <c r="BB54" s="6"/>
      <c r="BC54" s="6"/>
      <c r="BD54" s="6"/>
      <c r="BE54" s="6"/>
      <c r="BF54" s="6"/>
      <c r="BG54" s="6"/>
      <c r="BH54" s="6"/>
      <c r="BI54" s="6"/>
      <c r="BJ54" s="6"/>
      <c r="BK54" s="6"/>
      <c r="BL54" s="6"/>
      <c r="BM54" s="6"/>
      <c r="BN54" s="7"/>
      <c r="BO54" s="7"/>
      <c r="BP54" s="7"/>
      <c r="BQ54" s="7"/>
      <c r="BR54" s="8"/>
      <c r="BS54" s="8"/>
      <c r="CB54" s="9"/>
      <c r="CC54" s="9"/>
      <c r="CD54" s="9"/>
      <c r="CE54" s="9"/>
    </row>
    <row r="55" spans="2:83">
      <c r="B55" s="30" t="s">
        <v>228</v>
      </c>
      <c r="C55" s="192">
        <v>617847.70584914624</v>
      </c>
      <c r="D55" s="191"/>
      <c r="E55" s="191"/>
      <c r="F55" s="191"/>
      <c r="G55" s="190">
        <v>1.6819149317839344</v>
      </c>
      <c r="H55" s="193">
        <v>108368.10947920136</v>
      </c>
      <c r="I55" s="191">
        <f t="shared" si="5"/>
        <v>17.539615094995682</v>
      </c>
      <c r="J55" s="192">
        <v>368733.9232634622</v>
      </c>
      <c r="K55" s="191">
        <f t="shared" si="6"/>
        <v>59.680390454260632</v>
      </c>
      <c r="L55" s="193">
        <v>76557.806789611146</v>
      </c>
      <c r="M55" s="191">
        <f t="shared" si="7"/>
        <v>12.391048160386552</v>
      </c>
      <c r="N55" s="193">
        <v>98607.880597879921</v>
      </c>
      <c r="O55" s="191">
        <f t="shared" si="8"/>
        <v>15.959900743235265</v>
      </c>
      <c r="P55" s="184">
        <v>0.45059217911816063</v>
      </c>
      <c r="Q55" s="189">
        <v>14.25</v>
      </c>
      <c r="R55" s="3"/>
      <c r="S55" s="189">
        <v>12.96</v>
      </c>
      <c r="T55" s="186">
        <v>2.1837</v>
      </c>
      <c r="U55" s="194">
        <v>284639</v>
      </c>
      <c r="V55" s="195">
        <v>6737.6782536299888</v>
      </c>
      <c r="W55" s="195">
        <f t="shared" si="9"/>
        <v>2.3670959543948609</v>
      </c>
      <c r="X55" s="195">
        <v>36.594118419999994</v>
      </c>
      <c r="Y55" s="195">
        <f t="shared" si="10"/>
        <v>1.2856326230769499E-2</v>
      </c>
      <c r="Z55" s="195">
        <v>7577.2073231637314</v>
      </c>
      <c r="AA55" s="195">
        <f t="shared" si="11"/>
        <v>2.6620411549941263</v>
      </c>
      <c r="AB55" s="195">
        <v>802.93495111374193</v>
      </c>
      <c r="AC55" s="195">
        <f t="shared" si="12"/>
        <v>0.2820888743684955</v>
      </c>
      <c r="AD55" s="194">
        <v>73393</v>
      </c>
      <c r="AE55" s="195">
        <v>6.9243055929006827</v>
      </c>
      <c r="AF55" s="195"/>
      <c r="AG55" s="195"/>
      <c r="AH55" s="194">
        <v>4712.4972192900004</v>
      </c>
      <c r="AI55" s="195">
        <f t="shared" si="4"/>
        <v>1.655604895776756</v>
      </c>
      <c r="AJ55" s="5"/>
      <c r="AK55" s="5"/>
      <c r="AL55" s="5"/>
      <c r="AM55" s="5"/>
      <c r="AN55" s="5"/>
      <c r="AO55" s="5"/>
      <c r="AP55" s="5"/>
      <c r="AQ55" s="5"/>
      <c r="AR55" s="5"/>
      <c r="AS55" s="5"/>
      <c r="AT55" s="5"/>
      <c r="AU55" s="5"/>
      <c r="AV55" s="5"/>
      <c r="AW55" s="5"/>
      <c r="AX55" s="5"/>
      <c r="AY55" s="5"/>
      <c r="AZ55" s="6"/>
      <c r="BA55" s="6"/>
      <c r="BB55" s="6"/>
      <c r="BC55" s="6"/>
      <c r="BD55" s="6"/>
      <c r="BE55" s="6"/>
      <c r="BF55" s="6"/>
      <c r="BG55" s="6"/>
      <c r="BH55" s="6"/>
      <c r="BI55" s="6"/>
      <c r="BJ55" s="6"/>
      <c r="BK55" s="6"/>
      <c r="BL55" s="6"/>
      <c r="BM55" s="6"/>
      <c r="BN55" s="7"/>
      <c r="BO55" s="7"/>
      <c r="BP55" s="7"/>
      <c r="BQ55" s="7"/>
      <c r="BR55" s="8"/>
      <c r="BS55" s="8"/>
      <c r="CB55" s="9"/>
      <c r="CC55" s="9"/>
      <c r="CD55" s="9"/>
      <c r="CE55" s="9"/>
    </row>
    <row r="56" spans="2:83">
      <c r="B56" s="30" t="s">
        <v>229</v>
      </c>
      <c r="C56" s="192">
        <v>655354.89400052535</v>
      </c>
      <c r="D56" s="191"/>
      <c r="E56" s="191"/>
      <c r="F56" s="191"/>
      <c r="G56" s="190">
        <v>1.2074139672924256</v>
      </c>
      <c r="H56" s="193">
        <v>108849.80526787182</v>
      </c>
      <c r="I56" s="191">
        <f t="shared" si="5"/>
        <v>16.609291586031027</v>
      </c>
      <c r="J56" s="192">
        <v>386662.76642701071</v>
      </c>
      <c r="K56" s="191">
        <f t="shared" si="6"/>
        <v>59.00051559341842</v>
      </c>
      <c r="L56" s="193">
        <v>75060.480799333949</v>
      </c>
      <c r="M56" s="191">
        <f t="shared" si="7"/>
        <v>11.453409669551316</v>
      </c>
      <c r="N56" s="193">
        <v>91941.006784814221</v>
      </c>
      <c r="O56" s="191">
        <f t="shared" si="8"/>
        <v>14.029193590601388</v>
      </c>
      <c r="P56" s="184">
        <v>1.1237475782969142</v>
      </c>
      <c r="Q56" s="189">
        <v>13.25</v>
      </c>
      <c r="R56" s="3"/>
      <c r="S56" s="189">
        <v>12.04</v>
      </c>
      <c r="T56" s="186">
        <v>2.1487699999999998</v>
      </c>
      <c r="U56" s="194">
        <v>304407</v>
      </c>
      <c r="V56" s="195">
        <v>2634.9424153820737</v>
      </c>
      <c r="W56" s="195">
        <f t="shared" si="9"/>
        <v>0.86559849654642418</v>
      </c>
      <c r="X56" s="195">
        <v>76.540548300000012</v>
      </c>
      <c r="Y56" s="195">
        <f t="shared" si="10"/>
        <v>2.5144148557687571E-2</v>
      </c>
      <c r="Z56" s="195">
        <v>4985.4758799768497</v>
      </c>
      <c r="AA56" s="195">
        <f t="shared" si="11"/>
        <v>1.6377665033908055</v>
      </c>
      <c r="AB56" s="195">
        <v>2273.9929162947765</v>
      </c>
      <c r="AC56" s="195">
        <f t="shared" si="12"/>
        <v>0.74702385828669393</v>
      </c>
      <c r="AD56" s="194">
        <v>85839</v>
      </c>
      <c r="AE56" s="195">
        <v>7.7532760321262506</v>
      </c>
      <c r="AF56" s="195"/>
      <c r="AG56" s="195"/>
      <c r="AH56" s="194">
        <v>7177.9577537279793</v>
      </c>
      <c r="AI56" s="195">
        <f t="shared" si="4"/>
        <v>2.3580133681971769</v>
      </c>
      <c r="AJ56" s="5"/>
      <c r="AK56" s="5"/>
      <c r="AL56" s="5"/>
      <c r="AM56" s="5"/>
      <c r="AN56" s="5"/>
      <c r="AO56" s="5"/>
      <c r="AP56" s="5"/>
      <c r="AQ56" s="5"/>
      <c r="AR56" s="5"/>
      <c r="AS56" s="5"/>
      <c r="AT56" s="5"/>
      <c r="AU56" s="5"/>
      <c r="AV56" s="5"/>
      <c r="AW56" s="5"/>
      <c r="AX56" s="5"/>
      <c r="AY56" s="5"/>
      <c r="AZ56" s="6"/>
      <c r="BA56" s="6"/>
      <c r="BB56" s="6"/>
      <c r="BC56" s="6"/>
      <c r="BD56" s="6"/>
      <c r="BE56" s="6"/>
      <c r="BF56" s="6"/>
      <c r="BG56" s="6"/>
      <c r="BH56" s="6"/>
      <c r="BI56" s="6"/>
      <c r="BJ56" s="6"/>
      <c r="BK56" s="6"/>
      <c r="BL56" s="6"/>
      <c r="BM56" s="6"/>
      <c r="BN56" s="7"/>
      <c r="BO56" s="7"/>
      <c r="BP56" s="7"/>
      <c r="BQ56" s="7"/>
      <c r="BR56" s="8"/>
      <c r="BS56" s="8"/>
      <c r="CB56" s="9"/>
      <c r="CC56" s="9"/>
      <c r="CD56" s="9"/>
      <c r="CE56" s="9"/>
    </row>
    <row r="57" spans="2:83">
      <c r="B57" s="30" t="s">
        <v>222</v>
      </c>
      <c r="C57" s="192">
        <v>631423.00497274741</v>
      </c>
      <c r="D57" s="191"/>
      <c r="E57" s="191"/>
      <c r="F57" s="191"/>
      <c r="G57" s="190">
        <v>1.7629611840751735</v>
      </c>
      <c r="H57" s="193">
        <v>109266.942726753</v>
      </c>
      <c r="I57" s="191">
        <f t="shared" si="5"/>
        <v>17.304871990127921</v>
      </c>
      <c r="J57" s="192">
        <v>384998.89328977827</v>
      </c>
      <c r="K57" s="191">
        <f t="shared" si="6"/>
        <v>60.973212926633082</v>
      </c>
      <c r="L57" s="193">
        <v>75982.699224166106</v>
      </c>
      <c r="M57" s="191">
        <f t="shared" si="7"/>
        <v>12.033565236896234</v>
      </c>
      <c r="N57" s="193">
        <v>85073.56963464788</v>
      </c>
      <c r="O57" s="191">
        <f t="shared" si="8"/>
        <v>13.473308537169897</v>
      </c>
      <c r="P57" s="184">
        <v>1.2554253264755886</v>
      </c>
      <c r="Q57" s="189">
        <v>12.75</v>
      </c>
      <c r="R57" s="3"/>
      <c r="S57" s="189">
        <v>11.39</v>
      </c>
      <c r="T57" s="186">
        <v>2.06488</v>
      </c>
      <c r="U57" s="194">
        <v>298930</v>
      </c>
      <c r="V57" s="195">
        <v>-525.03023812873585</v>
      </c>
      <c r="W57" s="195">
        <f t="shared" si="9"/>
        <v>-0.17563651628432606</v>
      </c>
      <c r="X57" s="195">
        <v>21.876351909999997</v>
      </c>
      <c r="Y57" s="195">
        <f t="shared" si="10"/>
        <v>7.3182189509249651E-3</v>
      </c>
      <c r="Z57" s="195">
        <v>-805.92995412091386</v>
      </c>
      <c r="AA57" s="195">
        <f t="shared" si="11"/>
        <v>-0.26960490888198368</v>
      </c>
      <c r="AB57" s="195">
        <v>-302.77606790217806</v>
      </c>
      <c r="AC57" s="195">
        <f t="shared" si="12"/>
        <v>-0.10128661154858262</v>
      </c>
      <c r="AD57" s="194">
        <v>109531</v>
      </c>
      <c r="AE57" s="195">
        <v>9.4900149111353507</v>
      </c>
      <c r="AF57" s="195"/>
      <c r="AG57" s="195"/>
      <c r="AH57" s="194">
        <v>12305.884611678062</v>
      </c>
      <c r="AI57" s="195">
        <f t="shared" si="4"/>
        <v>4.1166442349975112</v>
      </c>
      <c r="AJ57" s="5"/>
      <c r="AK57" s="5"/>
      <c r="AL57" s="5"/>
      <c r="AM57" s="5"/>
      <c r="AN57" s="5"/>
      <c r="AO57" s="5"/>
      <c r="AP57" s="5"/>
      <c r="AQ57" s="5"/>
      <c r="AR57" s="5"/>
      <c r="AS57" s="5"/>
      <c r="AT57" s="5"/>
      <c r="AU57" s="5"/>
      <c r="AV57" s="5"/>
      <c r="AW57" s="5"/>
      <c r="AX57" s="5"/>
      <c r="AY57" s="5"/>
      <c r="AZ57" s="6"/>
      <c r="BA57" s="6"/>
      <c r="BB57" s="6"/>
      <c r="BC57" s="6"/>
      <c r="BD57" s="6"/>
      <c r="BE57" s="6"/>
      <c r="BF57" s="6"/>
      <c r="BG57" s="6"/>
      <c r="BH57" s="6"/>
      <c r="BI57" s="6"/>
      <c r="BJ57" s="6"/>
      <c r="BK57" s="6"/>
      <c r="BL57" s="6"/>
      <c r="BM57" s="6"/>
      <c r="BN57" s="7"/>
      <c r="BO57" s="7"/>
      <c r="BP57" s="7"/>
      <c r="BQ57" s="7"/>
      <c r="BR57" s="8"/>
      <c r="BS57" s="8"/>
      <c r="CB57" s="9"/>
      <c r="CC57" s="9"/>
      <c r="CD57" s="9"/>
      <c r="CE57" s="9"/>
    </row>
    <row r="58" spans="2:83">
      <c r="B58" s="30" t="s">
        <v>223</v>
      </c>
      <c r="C58" s="192">
        <v>670654.70333192404</v>
      </c>
      <c r="D58" s="191"/>
      <c r="E58" s="191"/>
      <c r="F58" s="191"/>
      <c r="G58" s="190">
        <v>1.7563940484809581</v>
      </c>
      <c r="H58" s="193">
        <v>119166.96051912893</v>
      </c>
      <c r="I58" s="191">
        <f t="shared" si="5"/>
        <v>17.768750435520346</v>
      </c>
      <c r="J58" s="192">
        <v>400751.22235750005</v>
      </c>
      <c r="K58" s="191">
        <f t="shared" si="6"/>
        <v>59.755224315359513</v>
      </c>
      <c r="L58" s="193">
        <v>77520.014299078903</v>
      </c>
      <c r="M58" s="191">
        <f t="shared" si="7"/>
        <v>11.558856429984996</v>
      </c>
      <c r="N58" s="193">
        <v>89584.565605347161</v>
      </c>
      <c r="O58" s="191">
        <f t="shared" si="8"/>
        <v>13.357777878881061</v>
      </c>
      <c r="P58" s="184">
        <v>0.81197033098176519</v>
      </c>
      <c r="Q58" s="189">
        <v>12</v>
      </c>
      <c r="R58" s="3"/>
      <c r="S58" s="189">
        <v>10.02</v>
      </c>
      <c r="T58" s="186">
        <v>1.9271800000000003</v>
      </c>
      <c r="U58" s="194">
        <v>336975</v>
      </c>
      <c r="V58" s="195">
        <v>1208.2758537495481</v>
      </c>
      <c r="W58" s="195">
        <f t="shared" si="9"/>
        <v>0.35856542881505993</v>
      </c>
      <c r="X58" s="195">
        <v>120.51548269</v>
      </c>
      <c r="Y58" s="195">
        <f t="shared" si="10"/>
        <v>3.5763923937977594E-2</v>
      </c>
      <c r="Z58" s="195">
        <v>2918.4047089297965</v>
      </c>
      <c r="AA58" s="195">
        <f t="shared" si="11"/>
        <v>0.86605971034343698</v>
      </c>
      <c r="AB58" s="195">
        <v>1589.6133724902484</v>
      </c>
      <c r="AC58" s="195">
        <f t="shared" si="12"/>
        <v>0.47173035759039939</v>
      </c>
      <c r="AD58" s="194">
        <v>147101</v>
      </c>
      <c r="AE58" s="195">
        <v>12.008725246969062</v>
      </c>
      <c r="AF58" s="195"/>
      <c r="AG58" s="195"/>
      <c r="AH58" s="194">
        <v>14692.650013490176</v>
      </c>
      <c r="AI58" s="195">
        <f t="shared" si="4"/>
        <v>4.360160253279969</v>
      </c>
      <c r="AJ58" s="5"/>
      <c r="AK58" s="5"/>
      <c r="AL58" s="5"/>
      <c r="AM58" s="5"/>
      <c r="AN58" s="5"/>
      <c r="AO58" s="5"/>
      <c r="AP58" s="5"/>
      <c r="AQ58" s="5"/>
      <c r="AR58" s="5"/>
      <c r="AS58" s="5"/>
      <c r="AT58" s="5"/>
      <c r="AU58" s="5"/>
      <c r="AV58" s="5"/>
      <c r="AW58" s="5"/>
      <c r="AX58" s="5"/>
      <c r="AY58" s="5"/>
      <c r="AZ58" s="6"/>
      <c r="BA58" s="6"/>
      <c r="BB58" s="6"/>
      <c r="BC58" s="6"/>
      <c r="BD58" s="6"/>
      <c r="BE58" s="6"/>
      <c r="BF58" s="6"/>
      <c r="BG58" s="6"/>
      <c r="BH58" s="6"/>
      <c r="BI58" s="6"/>
      <c r="BJ58" s="6"/>
      <c r="BK58" s="6"/>
      <c r="BL58" s="6"/>
      <c r="BM58" s="6"/>
      <c r="BN58" s="7"/>
      <c r="BO58" s="7"/>
      <c r="BP58" s="7"/>
      <c r="BQ58" s="7"/>
      <c r="BR58" s="8"/>
      <c r="BS58" s="8"/>
      <c r="CB58" s="9"/>
      <c r="CC58" s="9"/>
      <c r="CD58" s="9"/>
      <c r="CE58" s="9"/>
    </row>
    <row r="59" spans="2:83">
      <c r="B59" s="30" t="s">
        <v>224</v>
      </c>
      <c r="C59" s="192">
        <v>691845.92375146563</v>
      </c>
      <c r="D59" s="191"/>
      <c r="E59" s="191"/>
      <c r="F59" s="191"/>
      <c r="G59" s="190">
        <v>1.0255488015341152</v>
      </c>
      <c r="H59" s="193">
        <v>129920.68280408939</v>
      </c>
      <c r="I59" s="191">
        <f t="shared" si="5"/>
        <v>18.778846321679172</v>
      </c>
      <c r="J59" s="192">
        <v>410354.14246007171</v>
      </c>
      <c r="K59" s="191">
        <f t="shared" si="6"/>
        <v>59.312937804846378</v>
      </c>
      <c r="L59" s="193">
        <v>85912.181660511778</v>
      </c>
      <c r="M59" s="191">
        <f t="shared" si="7"/>
        <v>12.417820024820198</v>
      </c>
      <c r="N59" s="193">
        <v>95806.739065728965</v>
      </c>
      <c r="O59" s="191">
        <f t="shared" si="8"/>
        <v>13.847987792748198</v>
      </c>
      <c r="P59" s="184">
        <v>0.89271666079763179</v>
      </c>
      <c r="Q59" s="189">
        <v>11.25</v>
      </c>
      <c r="R59" s="3"/>
      <c r="S59" s="189">
        <v>10.02</v>
      </c>
      <c r="T59" s="186">
        <v>1.8661799999999999</v>
      </c>
      <c r="U59" s="194">
        <v>358411</v>
      </c>
      <c r="V59" s="195">
        <v>-64.173383490196585</v>
      </c>
      <c r="W59" s="195">
        <f t="shared" si="9"/>
        <v>-1.7904970408329147E-2</v>
      </c>
      <c r="X59" s="195">
        <v>34.425278419999998</v>
      </c>
      <c r="Y59" s="195">
        <f t="shared" si="10"/>
        <v>9.6049726208179993E-3</v>
      </c>
      <c r="Z59" s="195">
        <v>648.9843669363338</v>
      </c>
      <c r="AA59" s="195">
        <f t="shared" si="11"/>
        <v>0.18107266990587167</v>
      </c>
      <c r="AB59" s="195">
        <v>678.73247200653032</v>
      </c>
      <c r="AC59" s="195">
        <f t="shared" si="12"/>
        <v>0.18937266769338282</v>
      </c>
      <c r="AD59" s="194">
        <v>162962</v>
      </c>
      <c r="AE59" s="195">
        <v>12.547864325187128</v>
      </c>
      <c r="AF59" s="195"/>
      <c r="AG59" s="195"/>
      <c r="AH59" s="194">
        <v>8268.4435839747075</v>
      </c>
      <c r="AI59" s="195">
        <f t="shared" si="4"/>
        <v>2.3069726051864219</v>
      </c>
      <c r="AJ59" s="5"/>
      <c r="AK59" s="5"/>
      <c r="AL59" s="5"/>
      <c r="AM59" s="5"/>
      <c r="AN59" s="5"/>
      <c r="AO59" s="5"/>
      <c r="AP59" s="5"/>
      <c r="AQ59" s="5"/>
      <c r="AR59" s="5"/>
      <c r="AS59" s="5"/>
      <c r="AT59" s="5"/>
      <c r="AU59" s="5"/>
      <c r="AV59" s="5"/>
      <c r="AW59" s="5"/>
      <c r="AX59" s="5"/>
      <c r="AY59" s="5"/>
      <c r="AZ59" s="6"/>
      <c r="BA59" s="6"/>
      <c r="BB59" s="6"/>
      <c r="BC59" s="6"/>
      <c r="BD59" s="6"/>
      <c r="BE59" s="6"/>
      <c r="BF59" s="6"/>
      <c r="BG59" s="6"/>
      <c r="BH59" s="6"/>
      <c r="BI59" s="6"/>
      <c r="BJ59" s="6"/>
      <c r="BK59" s="6"/>
      <c r="BL59" s="6"/>
      <c r="BM59" s="6"/>
      <c r="BN59" s="7"/>
      <c r="BO59" s="7"/>
      <c r="BP59" s="7"/>
      <c r="BQ59" s="7"/>
      <c r="BR59" s="8"/>
      <c r="BS59" s="8"/>
      <c r="CB59" s="9"/>
      <c r="CC59" s="9"/>
      <c r="CD59" s="9"/>
      <c r="CE59" s="9"/>
    </row>
    <row r="60" spans="2:83">
      <c r="B60" s="30" t="s">
        <v>225</v>
      </c>
      <c r="C60" s="192">
        <v>726339.3055051507</v>
      </c>
      <c r="D60" s="191"/>
      <c r="E60" s="191"/>
      <c r="F60" s="191"/>
      <c r="G60" s="190">
        <v>1.4668588256313786</v>
      </c>
      <c r="H60" s="193">
        <v>131177.44006491147</v>
      </c>
      <c r="I60" s="191">
        <f t="shared" si="5"/>
        <v>18.060077304185111</v>
      </c>
      <c r="J60" s="192">
        <v>432651.74947348773</v>
      </c>
      <c r="K60" s="191">
        <f t="shared" si="6"/>
        <v>59.566065913586954</v>
      </c>
      <c r="L60" s="193">
        <v>86062.831712157407</v>
      </c>
      <c r="M60" s="191">
        <f t="shared" si="7"/>
        <v>11.848846821294199</v>
      </c>
      <c r="N60" s="193">
        <v>92082.931995131366</v>
      </c>
      <c r="O60" s="191">
        <f t="shared" si="8"/>
        <v>12.677674373010836</v>
      </c>
      <c r="P60" s="184">
        <v>1.4261791690956187</v>
      </c>
      <c r="Q60" s="189">
        <v>11.25</v>
      </c>
      <c r="R60" s="3"/>
      <c r="S60" s="189">
        <v>10.32</v>
      </c>
      <c r="T60" s="186">
        <v>1.7903200000000001</v>
      </c>
      <c r="U60" s="194">
        <v>402481</v>
      </c>
      <c r="V60" s="195">
        <v>-3372.7424276492602</v>
      </c>
      <c r="W60" s="195">
        <f t="shared" si="9"/>
        <v>-0.83798798642650463</v>
      </c>
      <c r="X60" s="195">
        <v>72.543670120000002</v>
      </c>
      <c r="Y60" s="195">
        <f t="shared" si="10"/>
        <v>1.8024122907665207E-2</v>
      </c>
      <c r="Z60" s="195">
        <v>-2079.5498841127364</v>
      </c>
      <c r="AA60" s="195">
        <f t="shared" si="11"/>
        <v>-0.51668274629429367</v>
      </c>
      <c r="AB60" s="195">
        <v>1220.6488734165234</v>
      </c>
      <c r="AC60" s="195">
        <f t="shared" si="12"/>
        <v>0.30328111722454559</v>
      </c>
      <c r="AD60" s="194">
        <v>180334</v>
      </c>
      <c r="AE60" s="195">
        <v>12.910537465358244</v>
      </c>
      <c r="AF60" s="195"/>
      <c r="AG60" s="195"/>
      <c r="AH60" s="194">
        <v>9312.5142544905848</v>
      </c>
      <c r="AI60" s="195">
        <f t="shared" si="4"/>
        <v>2.3137773595500373</v>
      </c>
      <c r="AJ60" s="5"/>
      <c r="AK60" s="5"/>
      <c r="AL60" s="5"/>
      <c r="AM60" s="5"/>
      <c r="AN60" s="5"/>
      <c r="AO60" s="5"/>
      <c r="AP60" s="5"/>
      <c r="AQ60" s="5"/>
      <c r="AR60" s="5"/>
      <c r="AS60" s="5"/>
      <c r="AT60" s="5"/>
      <c r="AU60" s="5"/>
      <c r="AV60" s="5"/>
      <c r="AW60" s="5"/>
      <c r="AX60" s="5"/>
      <c r="AY60" s="5"/>
      <c r="AZ60" s="6"/>
      <c r="BA60" s="6"/>
      <c r="BB60" s="6"/>
      <c r="BC60" s="6"/>
      <c r="BD60" s="6"/>
      <c r="BE60" s="6"/>
      <c r="BF60" s="6"/>
      <c r="BG60" s="6"/>
      <c r="BH60" s="6"/>
      <c r="BI60" s="6"/>
      <c r="BJ60" s="6"/>
      <c r="BK60" s="6"/>
      <c r="BL60" s="6"/>
      <c r="BM60" s="6"/>
      <c r="BN60" s="7"/>
      <c r="BO60" s="7"/>
      <c r="BP60" s="7"/>
      <c r="BQ60" s="7"/>
      <c r="BR60" s="8"/>
      <c r="BS60" s="8"/>
      <c r="CB60" s="9"/>
      <c r="CC60" s="9"/>
      <c r="CD60" s="9"/>
      <c r="CE60" s="9"/>
    </row>
    <row r="61" spans="2:83">
      <c r="B61" s="30" t="s">
        <v>218</v>
      </c>
      <c r="C61" s="192">
        <v>712055.24905440828</v>
      </c>
      <c r="D61" s="191"/>
      <c r="E61" s="191"/>
      <c r="F61" s="191"/>
      <c r="G61" s="190">
        <v>1.3305789342628271</v>
      </c>
      <c r="H61" s="193">
        <v>132371.4541814581</v>
      </c>
      <c r="I61" s="191">
        <f t="shared" si="5"/>
        <v>18.590053841642781</v>
      </c>
      <c r="J61" s="192">
        <v>433753.14604470402</v>
      </c>
      <c r="K61" s="191">
        <f t="shared" si="6"/>
        <v>60.915658808879989</v>
      </c>
      <c r="L61" s="193">
        <v>86426.452744532333</v>
      </c>
      <c r="M61" s="191">
        <f t="shared" si="7"/>
        <v>12.13760489221932</v>
      </c>
      <c r="N61" s="193">
        <v>80459.147995781896</v>
      </c>
      <c r="O61" s="191">
        <f t="shared" si="8"/>
        <v>11.29956532202096</v>
      </c>
      <c r="P61" s="184">
        <v>1.5177806576317323</v>
      </c>
      <c r="Q61" s="189">
        <v>11.25</v>
      </c>
      <c r="R61" s="3"/>
      <c r="S61" s="189">
        <v>10.35</v>
      </c>
      <c r="T61" s="186">
        <v>1.7305199999999998</v>
      </c>
      <c r="U61" s="194">
        <v>404598</v>
      </c>
      <c r="V61" s="195">
        <v>-12155.313165557956</v>
      </c>
      <c r="W61" s="195">
        <f t="shared" si="9"/>
        <v>-3.0042939326338627</v>
      </c>
      <c r="X61" s="195">
        <v>18.616154809999998</v>
      </c>
      <c r="Y61" s="195">
        <f t="shared" si="10"/>
        <v>4.601148500486903E-3</v>
      </c>
      <c r="Z61" s="195">
        <v>-13957.967236559249</v>
      </c>
      <c r="AA61" s="195">
        <f t="shared" si="11"/>
        <v>-3.4498359449525826</v>
      </c>
      <c r="AB61" s="195">
        <v>-1821.2702258112915</v>
      </c>
      <c r="AC61" s="195">
        <f t="shared" si="12"/>
        <v>-0.45014316081920613</v>
      </c>
      <c r="AD61" s="194">
        <v>195232</v>
      </c>
      <c r="AE61" s="195">
        <v>12.994113007624138</v>
      </c>
      <c r="AF61" s="195"/>
      <c r="AG61" s="195"/>
      <c r="AH61" s="194">
        <v>10181.419340027429</v>
      </c>
      <c r="AI61" s="195">
        <f t="shared" si="4"/>
        <v>2.5164284895198268</v>
      </c>
      <c r="AJ61" s="5"/>
      <c r="AK61" s="5"/>
      <c r="AL61" s="5"/>
      <c r="AM61" s="5"/>
      <c r="AN61" s="5"/>
      <c r="AO61" s="5"/>
      <c r="AP61" s="5"/>
      <c r="AQ61" s="5"/>
      <c r="AR61" s="5"/>
      <c r="AS61" s="5"/>
      <c r="AT61" s="5"/>
      <c r="AU61" s="5"/>
      <c r="AV61" s="5"/>
      <c r="AW61" s="5"/>
      <c r="AX61" s="5"/>
      <c r="AY61" s="5"/>
      <c r="AZ61" s="6"/>
      <c r="BA61" s="6"/>
      <c r="BB61" s="6"/>
      <c r="BC61" s="6"/>
      <c r="BD61" s="6"/>
      <c r="BE61" s="6"/>
      <c r="BF61" s="6"/>
      <c r="BG61" s="6"/>
      <c r="BH61" s="6"/>
      <c r="BI61" s="6"/>
      <c r="BJ61" s="6"/>
      <c r="BK61" s="6"/>
      <c r="BL61" s="6"/>
      <c r="BM61" s="6"/>
      <c r="BN61" s="7"/>
      <c r="BO61" s="7"/>
      <c r="BP61" s="7"/>
      <c r="BQ61" s="7"/>
      <c r="BR61" s="23">
        <f>'BCB-DBGG-trimestral'!B3</f>
        <v>1599048.5121576199</v>
      </c>
      <c r="BS61" s="29">
        <f>'BCB-DBGG-trimestral'!C3</f>
        <v>57.09062312069991</v>
      </c>
      <c r="CB61" s="9"/>
      <c r="CC61" s="9"/>
      <c r="CD61" s="9"/>
      <c r="CE61" s="9"/>
    </row>
    <row r="62" spans="2:83">
      <c r="B62" s="30" t="s">
        <v>219</v>
      </c>
      <c r="C62" s="192">
        <v>769525.15959561174</v>
      </c>
      <c r="D62" s="191"/>
      <c r="E62" s="191"/>
      <c r="F62" s="191"/>
      <c r="G62" s="190">
        <v>2.0311178757184356</v>
      </c>
      <c r="H62" s="193">
        <v>147732.50624720368</v>
      </c>
      <c r="I62" s="191">
        <f t="shared" si="5"/>
        <v>19.197878640490149</v>
      </c>
      <c r="J62" s="192">
        <v>456472.73542334809</v>
      </c>
      <c r="K62" s="191">
        <f t="shared" si="6"/>
        <v>59.31875387456158</v>
      </c>
      <c r="L62" s="193">
        <v>98761.079847012035</v>
      </c>
      <c r="M62" s="191">
        <f t="shared" si="7"/>
        <v>12.834028701402216</v>
      </c>
      <c r="N62" s="193">
        <v>98392.59134193715</v>
      </c>
      <c r="O62" s="191">
        <f t="shared" si="8"/>
        <v>12.786143521758643</v>
      </c>
      <c r="P62" s="184">
        <v>2.0944220866329175</v>
      </c>
      <c r="Q62" s="189">
        <v>12.25</v>
      </c>
      <c r="R62" s="3"/>
      <c r="S62" s="189">
        <v>11.44</v>
      </c>
      <c r="T62" s="186">
        <v>1.6044399999999999</v>
      </c>
      <c r="U62" s="194">
        <v>457169</v>
      </c>
      <c r="V62" s="195">
        <v>-8114.0062938384272</v>
      </c>
      <c r="W62" s="195">
        <f t="shared" si="9"/>
        <v>-1.7748373782645863</v>
      </c>
      <c r="X62" s="195">
        <v>44.527334240000002</v>
      </c>
      <c r="Y62" s="195">
        <f t="shared" si="10"/>
        <v>9.739797370337885E-3</v>
      </c>
      <c r="Z62" s="195">
        <v>-6043.4203408332287</v>
      </c>
      <c r="AA62" s="195">
        <f t="shared" si="11"/>
        <v>-1.3219226021084607</v>
      </c>
      <c r="AB62" s="195">
        <v>2026.0586187651988</v>
      </c>
      <c r="AC62" s="195">
        <f t="shared" si="12"/>
        <v>0.44317497878578793</v>
      </c>
      <c r="AD62" s="194">
        <v>200827</v>
      </c>
      <c r="AE62" s="195">
        <v>12.376414268185737</v>
      </c>
      <c r="AF62" s="195"/>
      <c r="AG62" s="195"/>
      <c r="AH62" s="194">
        <v>9966.4043226534086</v>
      </c>
      <c r="AI62" s="195">
        <f t="shared" si="4"/>
        <v>2.1800262753278128</v>
      </c>
      <c r="AJ62" s="5"/>
      <c r="AK62" s="5"/>
      <c r="AL62" s="5"/>
      <c r="AM62" s="5"/>
      <c r="AN62" s="5"/>
      <c r="AO62" s="5"/>
      <c r="AP62" s="5"/>
      <c r="AQ62" s="5"/>
      <c r="AR62" s="5"/>
      <c r="AS62" s="5"/>
      <c r="AT62" s="5"/>
      <c r="AU62" s="5"/>
      <c r="AV62" s="5"/>
      <c r="AW62" s="5"/>
      <c r="AX62" s="5"/>
      <c r="AY62" s="5"/>
      <c r="AZ62" s="6"/>
      <c r="BA62" s="6"/>
      <c r="BB62" s="6"/>
      <c r="BC62" s="6"/>
      <c r="BD62" s="6"/>
      <c r="BE62" s="6"/>
      <c r="BF62" s="6"/>
      <c r="BG62" s="6"/>
      <c r="BH62" s="6"/>
      <c r="BI62" s="6"/>
      <c r="BJ62" s="6"/>
      <c r="BK62" s="6"/>
      <c r="BL62" s="6"/>
      <c r="BM62" s="6"/>
      <c r="BN62" s="7"/>
      <c r="BO62" s="7"/>
      <c r="BP62" s="7"/>
      <c r="BQ62" s="7"/>
      <c r="BR62" s="23">
        <f>'BCB-DBGG-trimestral'!B4</f>
        <v>1612136.72841997</v>
      </c>
      <c r="BS62" s="29">
        <f>'BCB-DBGG-trimestral'!C4</f>
        <v>55.595414586117641</v>
      </c>
      <c r="CB62" s="9"/>
      <c r="CC62" s="9"/>
      <c r="CD62" s="9"/>
      <c r="CE62" s="9"/>
    </row>
    <row r="63" spans="2:83">
      <c r="B63" s="30" t="s">
        <v>220</v>
      </c>
      <c r="C63" s="192">
        <v>812602.57570374536</v>
      </c>
      <c r="D63" s="191"/>
      <c r="E63" s="191"/>
      <c r="F63" s="191"/>
      <c r="G63" s="190">
        <v>1.5348640863295904</v>
      </c>
      <c r="H63" s="193">
        <v>168885.98205088009</v>
      </c>
      <c r="I63" s="191">
        <f t="shared" si="5"/>
        <v>20.783343186503966</v>
      </c>
      <c r="J63" s="192">
        <v>480468.42742231651</v>
      </c>
      <c r="K63" s="191">
        <f t="shared" si="6"/>
        <v>59.127111061174297</v>
      </c>
      <c r="L63" s="193">
        <v>114296.52217454785</v>
      </c>
      <c r="M63" s="191">
        <f t="shared" si="7"/>
        <v>14.065488541623514</v>
      </c>
      <c r="N63" s="193">
        <v>115435.0374331115</v>
      </c>
      <c r="O63" s="191">
        <f t="shared" si="8"/>
        <v>14.205595808398746</v>
      </c>
      <c r="P63" s="184">
        <v>1.0734116051371245</v>
      </c>
      <c r="Q63" s="189">
        <v>13.75</v>
      </c>
      <c r="R63" s="3"/>
      <c r="S63" s="189">
        <v>12.42</v>
      </c>
      <c r="T63" s="186">
        <v>1.8642700000000001</v>
      </c>
      <c r="U63" s="194">
        <v>479466</v>
      </c>
      <c r="V63" s="195">
        <v>-8637.0572591448708</v>
      </c>
      <c r="W63" s="195">
        <f t="shared" si="9"/>
        <v>-1.8013909764498151</v>
      </c>
      <c r="X63" s="195">
        <v>60.107772840000003</v>
      </c>
      <c r="Y63" s="195">
        <f t="shared" si="10"/>
        <v>1.2536399419354033E-2</v>
      </c>
      <c r="Z63" s="195">
        <v>-8770.7196583345794</v>
      </c>
      <c r="AA63" s="195">
        <f t="shared" si="11"/>
        <v>-1.8292683231625557</v>
      </c>
      <c r="AB63" s="195">
        <v>-193.77017202970922</v>
      </c>
      <c r="AC63" s="195">
        <f t="shared" si="12"/>
        <v>-4.0413746132094711E-2</v>
      </c>
      <c r="AD63" s="194">
        <v>206494</v>
      </c>
      <c r="AE63" s="195">
        <v>11.842194304799984</v>
      </c>
      <c r="AF63" s="195"/>
      <c r="AG63" s="195"/>
      <c r="AH63" s="194">
        <v>15585.27034423787</v>
      </c>
      <c r="AI63" s="195">
        <f t="shared" si="4"/>
        <v>3.2505475558721306</v>
      </c>
      <c r="AJ63" s="5"/>
      <c r="AK63" s="5"/>
      <c r="AL63" s="5"/>
      <c r="AM63" s="5"/>
      <c r="AN63" s="5"/>
      <c r="AO63" s="5"/>
      <c r="AP63" s="5"/>
      <c r="AQ63" s="5"/>
      <c r="AR63" s="5"/>
      <c r="AS63" s="5"/>
      <c r="AT63" s="5"/>
      <c r="AU63" s="5"/>
      <c r="AV63" s="5"/>
      <c r="AW63" s="5"/>
      <c r="AX63" s="5"/>
      <c r="AY63" s="5"/>
      <c r="AZ63" s="6"/>
      <c r="BA63" s="6"/>
      <c r="BB63" s="6"/>
      <c r="BC63" s="6"/>
      <c r="BD63" s="6"/>
      <c r="BE63" s="6"/>
      <c r="BF63" s="6"/>
      <c r="BG63" s="6"/>
      <c r="BH63" s="6"/>
      <c r="BI63" s="6"/>
      <c r="BJ63" s="6"/>
      <c r="BK63" s="6"/>
      <c r="BL63" s="6"/>
      <c r="BM63" s="6"/>
      <c r="BN63" s="7"/>
      <c r="BO63" s="7"/>
      <c r="BP63" s="7"/>
      <c r="BQ63" s="7"/>
      <c r="BR63" s="23">
        <f>'BCB-DBGG-trimestral'!B5</f>
        <v>1656166.5325939897</v>
      </c>
      <c r="BS63" s="29">
        <f>'BCB-DBGG-trimestral'!C5</f>
        <v>54.830468828334467</v>
      </c>
      <c r="CB63" s="9"/>
      <c r="CC63" s="9"/>
      <c r="CD63" s="9"/>
      <c r="CE63" s="9"/>
    </row>
    <row r="64" spans="2:83">
      <c r="B64" s="30" t="s">
        <v>221</v>
      </c>
      <c r="C64" s="192">
        <v>815620.10459545185</v>
      </c>
      <c r="D64" s="191"/>
      <c r="E64" s="191"/>
      <c r="F64" s="191"/>
      <c r="G64" s="190">
        <v>-3.7433580365823116</v>
      </c>
      <c r="H64" s="193">
        <v>153855.63480930193</v>
      </c>
      <c r="I64" s="191">
        <f t="shared" si="5"/>
        <v>18.86363932698967</v>
      </c>
      <c r="J64" s="192">
        <v>486815.7264897842</v>
      </c>
      <c r="K64" s="191">
        <f t="shared" si="6"/>
        <v>59.686577580287228</v>
      </c>
      <c r="L64" s="193">
        <v>127291.9148998278</v>
      </c>
      <c r="M64" s="191">
        <f t="shared" si="7"/>
        <v>15.606765230850295</v>
      </c>
      <c r="N64" s="193">
        <v>126593.9892530069</v>
      </c>
      <c r="O64" s="191">
        <f t="shared" si="8"/>
        <v>15.521195289294349</v>
      </c>
      <c r="P64" s="184">
        <v>1.0941622547220788</v>
      </c>
      <c r="Q64" s="189">
        <v>13.75</v>
      </c>
      <c r="R64" s="3"/>
      <c r="S64" s="189">
        <v>12.5</v>
      </c>
      <c r="T64" s="186">
        <v>2.3663600000000002</v>
      </c>
      <c r="U64" s="194">
        <v>351914</v>
      </c>
      <c r="V64" s="195">
        <v>-6695.3508943016441</v>
      </c>
      <c r="W64" s="195">
        <f t="shared" si="9"/>
        <v>-1.9025531505713451</v>
      </c>
      <c r="X64" s="195">
        <v>28.845364889999999</v>
      </c>
      <c r="Y64" s="195">
        <f t="shared" si="10"/>
        <v>8.196708539586376E-3</v>
      </c>
      <c r="Z64" s="195">
        <v>4632.1964210887527</v>
      </c>
      <c r="AA64" s="195">
        <f t="shared" si="11"/>
        <v>1.3162864850755449</v>
      </c>
      <c r="AB64" s="195">
        <v>11298.701950500395</v>
      </c>
      <c r="AC64" s="195">
        <f t="shared" si="12"/>
        <v>3.2106429271073029</v>
      </c>
      <c r="AD64" s="194">
        <v>193783</v>
      </c>
      <c r="AE64" s="195">
        <v>11.445137368462396</v>
      </c>
      <c r="AF64" s="195"/>
      <c r="AG64" s="195"/>
      <c r="AH64" s="194">
        <v>14983.30870456</v>
      </c>
      <c r="AI64" s="195">
        <f t="shared" si="4"/>
        <v>4.2576620153105589</v>
      </c>
      <c r="AJ64" s="5"/>
      <c r="AK64" s="5"/>
      <c r="AL64" s="5"/>
      <c r="AM64" s="5"/>
      <c r="AN64" s="5"/>
      <c r="AO64" s="5"/>
      <c r="AP64" s="5"/>
      <c r="AQ64" s="5"/>
      <c r="AR64" s="5"/>
      <c r="AS64" s="5"/>
      <c r="AT64" s="5"/>
      <c r="AU64" s="5"/>
      <c r="AV64" s="5"/>
      <c r="AW64" s="5"/>
      <c r="AX64" s="5"/>
      <c r="AY64" s="5"/>
      <c r="AZ64" s="6"/>
      <c r="BA64" s="6"/>
      <c r="BB64" s="6"/>
      <c r="BC64" s="6"/>
      <c r="BD64" s="6"/>
      <c r="BE64" s="6"/>
      <c r="BF64" s="6"/>
      <c r="BG64" s="6"/>
      <c r="BH64" s="6"/>
      <c r="BI64" s="6"/>
      <c r="BJ64" s="6"/>
      <c r="BK64" s="6"/>
      <c r="BL64" s="6"/>
      <c r="BM64" s="6"/>
      <c r="BN64" s="7"/>
      <c r="BO64" s="7"/>
      <c r="BP64" s="7"/>
      <c r="BQ64" s="7"/>
      <c r="BR64" s="23">
        <f>'BCB-DBGG-trimestral'!B6</f>
        <v>1740887.8145587298</v>
      </c>
      <c r="BS64" s="29">
        <f>'BCB-DBGG-trimestral'!C6</f>
        <v>55.980644586309268</v>
      </c>
      <c r="CB64" s="9"/>
      <c r="CC64" s="9"/>
      <c r="CD64" s="9"/>
      <c r="CE64" s="9"/>
    </row>
    <row r="65" spans="2:83">
      <c r="B65" s="30" t="s">
        <v>214</v>
      </c>
      <c r="C65" s="192">
        <v>756127.08930991194</v>
      </c>
      <c r="D65" s="191"/>
      <c r="E65" s="191"/>
      <c r="F65" s="191"/>
      <c r="G65" s="190">
        <v>-1.3586991407563143</v>
      </c>
      <c r="H65" s="193">
        <v>134944.75250333574</v>
      </c>
      <c r="I65" s="191">
        <f t="shared" si="5"/>
        <v>17.84683479949047</v>
      </c>
      <c r="J65" s="192">
        <v>474263.57946446788</v>
      </c>
      <c r="K65" s="191">
        <f t="shared" si="6"/>
        <v>62.722733541699981</v>
      </c>
      <c r="L65" s="193">
        <v>93767.449475723886</v>
      </c>
      <c r="M65" s="191">
        <f t="shared" si="7"/>
        <v>12.401017077870048</v>
      </c>
      <c r="N65" s="193">
        <v>87414.683614201756</v>
      </c>
      <c r="O65" s="191">
        <f t="shared" si="8"/>
        <v>11.56084537243359</v>
      </c>
      <c r="P65" s="184">
        <v>1.2344185339076148</v>
      </c>
      <c r="Q65" s="189">
        <v>11.25</v>
      </c>
      <c r="R65" s="3"/>
      <c r="S65" s="189">
        <v>10.47</v>
      </c>
      <c r="T65" s="186">
        <v>2.2682799999999999</v>
      </c>
      <c r="U65" s="194">
        <v>320254</v>
      </c>
      <c r="V65" s="195">
        <v>-6412.1016780232167</v>
      </c>
      <c r="W65" s="195">
        <f t="shared" si="9"/>
        <v>-2.0021925340583464</v>
      </c>
      <c r="X65" s="195">
        <v>26.361606090000002</v>
      </c>
      <c r="Y65" s="195">
        <f t="shared" si="10"/>
        <v>8.2314681752608879E-3</v>
      </c>
      <c r="Z65" s="195">
        <v>-4704.8754496839974</v>
      </c>
      <c r="AA65" s="195">
        <f t="shared" si="11"/>
        <v>-1.4691074739687866</v>
      </c>
      <c r="AB65" s="195">
        <v>1680.8646222492191</v>
      </c>
      <c r="AC65" s="195">
        <f t="shared" si="12"/>
        <v>0.52485359191429903</v>
      </c>
      <c r="AD65" s="194">
        <v>190388</v>
      </c>
      <c r="AE65" s="195">
        <v>11.834140040763225</v>
      </c>
      <c r="AF65" s="195"/>
      <c r="AG65" s="195"/>
      <c r="AH65" s="194">
        <v>5670.3621000000003</v>
      </c>
      <c r="AI65" s="195">
        <f t="shared" si="4"/>
        <v>1.7705827561872765</v>
      </c>
      <c r="AJ65" s="5"/>
      <c r="AK65" s="5"/>
      <c r="AL65" s="5"/>
      <c r="AM65" s="5"/>
      <c r="AN65" s="5"/>
      <c r="AO65" s="5"/>
      <c r="AP65" s="5"/>
      <c r="AQ65" s="5"/>
      <c r="AR65" s="5"/>
      <c r="AS65" s="5"/>
      <c r="AT65" s="5"/>
      <c r="AU65" s="5"/>
      <c r="AV65" s="5"/>
      <c r="AW65" s="5"/>
      <c r="AX65" s="5"/>
      <c r="AY65" s="5"/>
      <c r="AZ65" s="6"/>
      <c r="BA65" s="6"/>
      <c r="BB65" s="6"/>
      <c r="BC65" s="6"/>
      <c r="BD65" s="6"/>
      <c r="BE65" s="6"/>
      <c r="BF65" s="6"/>
      <c r="BG65" s="6"/>
      <c r="BH65" s="6"/>
      <c r="BI65" s="6"/>
      <c r="BJ65" s="6"/>
      <c r="BK65" s="6"/>
      <c r="BL65" s="6"/>
      <c r="BM65" s="6"/>
      <c r="BN65" s="7"/>
      <c r="BO65" s="7"/>
      <c r="BP65" s="7"/>
      <c r="BQ65" s="7"/>
      <c r="BR65" s="23">
        <f>'BCB-DBGG-trimestral'!B7</f>
        <v>1812527.09966771</v>
      </c>
      <c r="BS65" s="29">
        <f>'BCB-DBGG-trimestral'!C7</f>
        <v>57.469847104075122</v>
      </c>
      <c r="CB65" s="9"/>
      <c r="CC65" s="9"/>
      <c r="CD65" s="9"/>
      <c r="CE65" s="9"/>
    </row>
    <row r="66" spans="2:83">
      <c r="B66" s="30" t="s">
        <v>215</v>
      </c>
      <c r="C66" s="192">
        <v>803577.49403685168</v>
      </c>
      <c r="D66" s="191"/>
      <c r="E66" s="191"/>
      <c r="F66" s="191"/>
      <c r="G66" s="190">
        <v>1.7878377167530379</v>
      </c>
      <c r="H66" s="193">
        <v>147361.69632497188</v>
      </c>
      <c r="I66" s="191">
        <f t="shared" si="5"/>
        <v>18.338206012302024</v>
      </c>
      <c r="J66" s="192">
        <v>504219.99069614342</v>
      </c>
      <c r="K66" s="191">
        <f t="shared" si="6"/>
        <v>62.74690299788562</v>
      </c>
      <c r="L66" s="193">
        <v>88904.311432979768</v>
      </c>
      <c r="M66" s="191">
        <f t="shared" si="7"/>
        <v>11.06356413572014</v>
      </c>
      <c r="N66" s="193">
        <v>93899.818194118139</v>
      </c>
      <c r="O66" s="191">
        <f t="shared" si="8"/>
        <v>11.685222506967316</v>
      </c>
      <c r="P66" s="184">
        <v>1.3156591783703249</v>
      </c>
      <c r="Q66" s="189">
        <v>9.25</v>
      </c>
      <c r="R66" s="3"/>
      <c r="S66" s="189">
        <v>8.74</v>
      </c>
      <c r="T66" s="186">
        <v>1.9686299999999999</v>
      </c>
      <c r="U66" s="194">
        <v>380565</v>
      </c>
      <c r="V66" s="195">
        <v>-3030.2091046039454</v>
      </c>
      <c r="W66" s="195">
        <f t="shared" si="9"/>
        <v>-0.7962395660672803</v>
      </c>
      <c r="X66" s="195">
        <v>76.44157208</v>
      </c>
      <c r="Y66" s="195">
        <f t="shared" si="10"/>
        <v>2.0086337965919094E-2</v>
      </c>
      <c r="Z66" s="195">
        <v>-1955.0872170027599</v>
      </c>
      <c r="AA66" s="195">
        <f t="shared" si="11"/>
        <v>-0.51373279650066606</v>
      </c>
      <c r="AB66" s="195">
        <v>998.68031552118589</v>
      </c>
      <c r="AC66" s="195">
        <f t="shared" si="12"/>
        <v>0.26242043160069528</v>
      </c>
      <c r="AD66" s="194">
        <v>201467</v>
      </c>
      <c r="AE66" s="195">
        <v>13.14887948628083</v>
      </c>
      <c r="AF66" s="195"/>
      <c r="AG66" s="195"/>
      <c r="AH66" s="194">
        <v>8225.4</v>
      </c>
      <c r="AI66" s="195">
        <f t="shared" si="4"/>
        <v>2.1613653383784635</v>
      </c>
      <c r="AJ66" s="5"/>
      <c r="AK66" s="5"/>
      <c r="AL66" s="5"/>
      <c r="AM66" s="5"/>
      <c r="AN66" s="5"/>
      <c r="AO66" s="5"/>
      <c r="AP66" s="5"/>
      <c r="AQ66" s="5"/>
      <c r="AR66" s="5"/>
      <c r="AS66" s="5"/>
      <c r="AT66" s="5"/>
      <c r="AU66" s="5"/>
      <c r="AV66" s="5"/>
      <c r="AW66" s="5"/>
      <c r="AX66" s="5"/>
      <c r="AY66" s="5"/>
      <c r="AZ66" s="6"/>
      <c r="BA66" s="6"/>
      <c r="BB66" s="6"/>
      <c r="BC66" s="6"/>
      <c r="BD66" s="6"/>
      <c r="BE66" s="6"/>
      <c r="BF66" s="6"/>
      <c r="BG66" s="6"/>
      <c r="BH66" s="6"/>
      <c r="BI66" s="6"/>
      <c r="BJ66" s="6"/>
      <c r="BK66" s="6"/>
      <c r="BL66" s="6"/>
      <c r="BM66" s="6"/>
      <c r="BN66" s="7"/>
      <c r="BO66" s="7"/>
      <c r="BP66" s="7"/>
      <c r="BQ66" s="7"/>
      <c r="BR66" s="23">
        <f>'BCB-DBGG-trimestral'!B8</f>
        <v>1859801.5494520499</v>
      </c>
      <c r="BS66" s="29">
        <f>'BCB-DBGG-trimestral'!C8</f>
        <v>58.338895327399563</v>
      </c>
      <c r="CB66" s="9"/>
      <c r="CC66" s="9"/>
      <c r="CD66" s="9"/>
      <c r="CE66" s="9"/>
    </row>
    <row r="67" spans="2:83">
      <c r="B67" s="30" t="s">
        <v>216</v>
      </c>
      <c r="C67" s="192">
        <v>852843.24914766895</v>
      </c>
      <c r="D67" s="191"/>
      <c r="E67" s="191"/>
      <c r="F67" s="191"/>
      <c r="G67" s="190">
        <v>2.3601912743982156</v>
      </c>
      <c r="H67" s="193">
        <v>172381.63198942499</v>
      </c>
      <c r="I67" s="191">
        <f t="shared" si="5"/>
        <v>20.212580935793664</v>
      </c>
      <c r="J67" s="192">
        <v>534397.20787058666</v>
      </c>
      <c r="K67" s="191">
        <f t="shared" si="6"/>
        <v>62.660659904931293</v>
      </c>
      <c r="L67" s="193">
        <v>95863.413420137513</v>
      </c>
      <c r="M67" s="191">
        <f t="shared" si="7"/>
        <v>11.24044934587257</v>
      </c>
      <c r="N67" s="193">
        <v>92906.41168743241</v>
      </c>
      <c r="O67" s="191">
        <f t="shared" si="8"/>
        <v>10.893726576399946</v>
      </c>
      <c r="P67" s="184">
        <v>0.63125610865829174</v>
      </c>
      <c r="Q67" s="189">
        <v>8.75</v>
      </c>
      <c r="R67" s="3"/>
      <c r="S67" s="189">
        <v>8.2100000000000009</v>
      </c>
      <c r="T67" s="186">
        <v>1.7984500000000001</v>
      </c>
      <c r="U67" s="194">
        <v>449297</v>
      </c>
      <c r="V67" s="195">
        <v>-6580.4682454783469</v>
      </c>
      <c r="W67" s="195">
        <f t="shared" si="9"/>
        <v>-1.4646143298260053</v>
      </c>
      <c r="X67" s="195">
        <v>29.411122899999995</v>
      </c>
      <c r="Y67" s="195">
        <f t="shared" si="10"/>
        <v>6.5460314446791302E-3</v>
      </c>
      <c r="Z67" s="195">
        <v>-3100.894382596668</v>
      </c>
      <c r="AA67" s="195">
        <f t="shared" si="11"/>
        <v>-0.69016583297833467</v>
      </c>
      <c r="AB67" s="195">
        <v>3450.1627399816789</v>
      </c>
      <c r="AC67" s="195">
        <f t="shared" si="12"/>
        <v>0.76790246540299156</v>
      </c>
      <c r="AD67" s="194">
        <v>221629</v>
      </c>
      <c r="AE67" s="195">
        <v>14.755297830269701</v>
      </c>
      <c r="AF67" s="195"/>
      <c r="AG67" s="195"/>
      <c r="AH67" s="194">
        <v>7577.1986999999999</v>
      </c>
      <c r="AI67" s="195">
        <f t="shared" si="4"/>
        <v>1.6864565532376135</v>
      </c>
      <c r="AJ67" s="5"/>
      <c r="AK67" s="5"/>
      <c r="AL67" s="5"/>
      <c r="AM67" s="5"/>
      <c r="AN67" s="5"/>
      <c r="AO67" s="5"/>
      <c r="AP67" s="5"/>
      <c r="AQ67" s="5"/>
      <c r="AR67" s="5"/>
      <c r="AS67" s="5"/>
      <c r="AT67" s="5"/>
      <c r="AU67" s="5"/>
      <c r="AV67" s="5"/>
      <c r="AW67" s="5"/>
      <c r="AX67" s="5"/>
      <c r="AY67" s="5"/>
      <c r="AZ67" s="6"/>
      <c r="BA67" s="6"/>
      <c r="BB67" s="6"/>
      <c r="BC67" s="6"/>
      <c r="BD67" s="6"/>
      <c r="BE67" s="6"/>
      <c r="BF67" s="6"/>
      <c r="BG67" s="6"/>
      <c r="BH67" s="6"/>
      <c r="BI67" s="6"/>
      <c r="BJ67" s="6"/>
      <c r="BK67" s="6"/>
      <c r="BL67" s="6"/>
      <c r="BM67" s="6"/>
      <c r="BN67" s="7"/>
      <c r="BO67" s="7"/>
      <c r="BP67" s="7"/>
      <c r="BQ67" s="7"/>
      <c r="BR67" s="23">
        <f>'BCB-DBGG-trimestral'!B9</f>
        <v>1962852.3386698798</v>
      </c>
      <c r="BS67" s="29">
        <f>'BCB-DBGG-trimestral'!C9</f>
        <v>60.803910357877676</v>
      </c>
      <c r="CB67" s="9"/>
      <c r="CC67" s="9"/>
      <c r="CD67" s="9"/>
      <c r="CE67" s="9"/>
    </row>
    <row r="68" spans="2:83">
      <c r="B68" s="30" t="s">
        <v>217</v>
      </c>
      <c r="C68" s="192">
        <v>920491.52268654155</v>
      </c>
      <c r="D68" s="191"/>
      <c r="E68" s="191"/>
      <c r="F68" s="191"/>
      <c r="G68" s="190">
        <v>2.5162009293611343</v>
      </c>
      <c r="H68" s="193">
        <v>181987.69822046865</v>
      </c>
      <c r="I68" s="191">
        <f t="shared" si="5"/>
        <v>19.770708771909202</v>
      </c>
      <c r="J68" s="192">
        <v>552152.41363366402</v>
      </c>
      <c r="K68" s="191">
        <f t="shared" si="6"/>
        <v>59.984519142789608</v>
      </c>
      <c r="L68" s="193">
        <v>96585.221960639712</v>
      </c>
      <c r="M68" s="191">
        <f t="shared" si="7"/>
        <v>10.492787774812593</v>
      </c>
      <c r="N68" s="193">
        <v>87459.557011822559</v>
      </c>
      <c r="O68" s="191">
        <f t="shared" si="8"/>
        <v>9.5013973356933885</v>
      </c>
      <c r="P68" s="184">
        <v>1.0636908330346984</v>
      </c>
      <c r="Q68" s="189">
        <v>8.75</v>
      </c>
      <c r="R68" s="3"/>
      <c r="S68" s="189">
        <v>8.16</v>
      </c>
      <c r="T68" s="186">
        <v>1.76247</v>
      </c>
      <c r="U68" s="194">
        <v>522508</v>
      </c>
      <c r="V68" s="195">
        <v>-13305.654065509982</v>
      </c>
      <c r="W68" s="195">
        <f t="shared" si="9"/>
        <v>-2.5464976738174312</v>
      </c>
      <c r="X68" s="195">
        <v>105.00300298000002</v>
      </c>
      <c r="Y68" s="195">
        <f t="shared" si="10"/>
        <v>2.0095960823566343E-2</v>
      </c>
      <c r="Z68" s="195">
        <v>-13693.533953817838</v>
      </c>
      <c r="AA68" s="195">
        <f t="shared" si="11"/>
        <v>-2.6207319225385715</v>
      </c>
      <c r="AB68" s="195">
        <v>-492.88289128785482</v>
      </c>
      <c r="AC68" s="195">
        <f t="shared" si="12"/>
        <v>-9.4330209544706459E-2</v>
      </c>
      <c r="AD68" s="194">
        <v>238520</v>
      </c>
      <c r="AE68" s="195">
        <v>14.260228240178307</v>
      </c>
      <c r="AF68" s="195"/>
      <c r="AG68" s="195"/>
      <c r="AH68" s="194">
        <v>10007.9709</v>
      </c>
      <c r="AI68" s="195">
        <f t="shared" si="4"/>
        <v>1.9153718029197642</v>
      </c>
      <c r="AJ68" s="5"/>
      <c r="AK68" s="5"/>
      <c r="AL68" s="5"/>
      <c r="AM68" s="5"/>
      <c r="AN68" s="5"/>
      <c r="AO68" s="5"/>
      <c r="AP68" s="5"/>
      <c r="AQ68" s="5"/>
      <c r="AR68" s="5"/>
      <c r="AS68" s="5"/>
      <c r="AT68" s="5"/>
      <c r="AU68" s="5"/>
      <c r="AV68" s="5"/>
      <c r="AW68" s="5"/>
      <c r="AX68" s="5"/>
      <c r="AY68" s="5"/>
      <c r="AZ68" s="6"/>
      <c r="BA68" s="6"/>
      <c r="BB68" s="6"/>
      <c r="BC68" s="6"/>
      <c r="BD68" s="6"/>
      <c r="BE68" s="6"/>
      <c r="BF68" s="6"/>
      <c r="BG68" s="6"/>
      <c r="BH68" s="6"/>
      <c r="BI68" s="6"/>
      <c r="BJ68" s="6"/>
      <c r="BK68" s="6"/>
      <c r="BL68" s="6"/>
      <c r="BM68" s="6"/>
      <c r="BN68" s="7"/>
      <c r="BO68" s="7"/>
      <c r="BP68" s="7"/>
      <c r="BQ68" s="7"/>
      <c r="BR68" s="23">
        <f>'BCB-DBGG-trimestral'!B10</f>
        <v>1973423.68412051</v>
      </c>
      <c r="BS68" s="29">
        <f>'BCB-DBGG-trimestral'!C10</f>
        <v>59.207932275175956</v>
      </c>
      <c r="CB68" s="9"/>
      <c r="CC68" s="9"/>
      <c r="CD68" s="9"/>
      <c r="CE68" s="9"/>
    </row>
    <row r="69" spans="2:83">
      <c r="B69" s="30" t="s">
        <v>210</v>
      </c>
      <c r="C69" s="192">
        <v>886397.39307071618</v>
      </c>
      <c r="D69" s="191"/>
      <c r="E69" s="191"/>
      <c r="F69" s="191"/>
      <c r="G69" s="190">
        <v>2.1144316536260588</v>
      </c>
      <c r="H69" s="193">
        <v>163725.54174537581</v>
      </c>
      <c r="I69" s="191">
        <f t="shared" si="5"/>
        <v>18.470896126870031</v>
      </c>
      <c r="J69" s="192">
        <v>546391.81416622188</v>
      </c>
      <c r="K69" s="191">
        <f t="shared" si="6"/>
        <v>61.641857076471695</v>
      </c>
      <c r="L69" s="193">
        <v>101274.06949359689</v>
      </c>
      <c r="M69" s="191">
        <f t="shared" si="7"/>
        <v>11.425357326780555</v>
      </c>
      <c r="N69" s="193">
        <v>86801.171637586798</v>
      </c>
      <c r="O69" s="191">
        <f t="shared" si="8"/>
        <v>9.7925797521678692</v>
      </c>
      <c r="P69" s="184">
        <v>2.063567283825833</v>
      </c>
      <c r="Q69" s="189">
        <v>8.75</v>
      </c>
      <c r="R69" s="3"/>
      <c r="S69" s="189">
        <v>8.34</v>
      </c>
      <c r="T69" s="186">
        <v>1.7961400000000001</v>
      </c>
      <c r="U69" s="194">
        <v>488663</v>
      </c>
      <c r="V69" s="195">
        <v>-23077.007817244994</v>
      </c>
      <c r="W69" s="195">
        <f t="shared" si="9"/>
        <v>-4.7224790535082448</v>
      </c>
      <c r="X69" s="195">
        <v>77.792800749999998</v>
      </c>
      <c r="Y69" s="195">
        <f t="shared" si="10"/>
        <v>1.591951933131831E-2</v>
      </c>
      <c r="Z69" s="195">
        <v>-22603.622916024997</v>
      </c>
      <c r="AA69" s="195">
        <f t="shared" si="11"/>
        <v>-4.6256055637576399</v>
      </c>
      <c r="AB69" s="195">
        <v>395.59210046999624</v>
      </c>
      <c r="AC69" s="195">
        <f t="shared" si="12"/>
        <v>8.0953970419286148E-2</v>
      </c>
      <c r="AD69" s="194">
        <v>243762</v>
      </c>
      <c r="AE69" s="195">
        <v>13.240501392424797</v>
      </c>
      <c r="AF69" s="195"/>
      <c r="AG69" s="195"/>
      <c r="AH69" s="194">
        <v>14121.92150369</v>
      </c>
      <c r="AI69" s="195">
        <f t="shared" si="4"/>
        <v>2.8899101228638142</v>
      </c>
      <c r="AJ69" s="5"/>
      <c r="AK69" s="5"/>
      <c r="AL69" s="5"/>
      <c r="AM69" s="5"/>
      <c r="AN69" s="5"/>
      <c r="AO69" s="5"/>
      <c r="AP69" s="5"/>
      <c r="AQ69" s="5"/>
      <c r="AR69" s="5"/>
      <c r="AS69" s="5"/>
      <c r="AT69" s="5"/>
      <c r="AU69" s="5"/>
      <c r="AV69" s="5"/>
      <c r="AW69" s="5"/>
      <c r="AX69" s="5"/>
      <c r="AY69" s="5"/>
      <c r="AZ69" s="6"/>
      <c r="BA69" s="6"/>
      <c r="BB69" s="6"/>
      <c r="BC69" s="6"/>
      <c r="BD69" s="6"/>
      <c r="BE69" s="6"/>
      <c r="BF69" s="6"/>
      <c r="BG69" s="6"/>
      <c r="BH69" s="6"/>
      <c r="BI69" s="6"/>
      <c r="BJ69" s="6"/>
      <c r="BK69" s="6"/>
      <c r="BL69" s="6"/>
      <c r="BM69" s="6"/>
      <c r="BN69" s="7"/>
      <c r="BO69" s="7"/>
      <c r="BP69" s="7"/>
      <c r="BQ69" s="7"/>
      <c r="BR69" s="23">
        <f>'BCB-DBGG-trimestral'!B11</f>
        <v>1947898.93438518</v>
      </c>
      <c r="BS69" s="29">
        <f>'BCB-DBGG-trimestral'!C11</f>
        <v>56.243857067645621</v>
      </c>
      <c r="CB69" s="9"/>
      <c r="CC69" s="9"/>
      <c r="CD69" s="9"/>
      <c r="CE69" s="9"/>
    </row>
    <row r="70" spans="2:83">
      <c r="B70" s="30" t="s">
        <v>211</v>
      </c>
      <c r="C70" s="192">
        <v>944145.04099871288</v>
      </c>
      <c r="D70" s="191"/>
      <c r="E70" s="191"/>
      <c r="F70" s="191"/>
      <c r="G70" s="190">
        <v>1.273105592522672</v>
      </c>
      <c r="H70" s="193">
        <v>172802.94577003006</v>
      </c>
      <c r="I70" s="191">
        <f t="shared" si="5"/>
        <v>18.302584694745608</v>
      </c>
      <c r="J70" s="192">
        <v>568567.29536966269</v>
      </c>
      <c r="K70" s="191">
        <f t="shared" si="6"/>
        <v>60.220333813143213</v>
      </c>
      <c r="L70" s="193">
        <v>111181.67619904153</v>
      </c>
      <c r="M70" s="191">
        <f t="shared" si="7"/>
        <v>11.775910625070274</v>
      </c>
      <c r="N70" s="193">
        <v>105294.31902529004</v>
      </c>
      <c r="O70" s="191">
        <f t="shared" si="8"/>
        <v>11.152345715220845</v>
      </c>
      <c r="P70" s="184">
        <v>1.0026429772781853</v>
      </c>
      <c r="Q70" s="189">
        <v>10.25</v>
      </c>
      <c r="R70" s="3"/>
      <c r="S70" s="189">
        <v>8.8699999999999992</v>
      </c>
      <c r="T70" s="186">
        <v>1.7843399999999998</v>
      </c>
      <c r="U70" s="194">
        <v>525814</v>
      </c>
      <c r="V70" s="195">
        <v>-19371.555704665006</v>
      </c>
      <c r="W70" s="195">
        <f t="shared" si="9"/>
        <v>-3.6841080124654355</v>
      </c>
      <c r="X70" s="195">
        <v>33.792090290000004</v>
      </c>
      <c r="Y70" s="195">
        <f t="shared" si="10"/>
        <v>6.4266242987063875E-3</v>
      </c>
      <c r="Z70" s="195">
        <v>-17113.234708564996</v>
      </c>
      <c r="AA70" s="195">
        <f t="shared" si="11"/>
        <v>-3.2546175469966561</v>
      </c>
      <c r="AB70" s="195">
        <v>2224.5289058100102</v>
      </c>
      <c r="AC70" s="195">
        <f t="shared" si="12"/>
        <v>0.42306384117007351</v>
      </c>
      <c r="AD70" s="194">
        <v>253114</v>
      </c>
      <c r="AE70" s="195">
        <v>12.743104956899373</v>
      </c>
      <c r="AF70" s="195"/>
      <c r="AG70" s="195"/>
      <c r="AH70" s="194">
        <v>12086.003836390002</v>
      </c>
      <c r="AI70" s="195">
        <f t="shared" si="4"/>
        <v>2.2985321494654007</v>
      </c>
      <c r="AJ70" s="5"/>
      <c r="AK70" s="5"/>
      <c r="AL70" s="5"/>
      <c r="AM70" s="5"/>
      <c r="AN70" s="5"/>
      <c r="AO70" s="5"/>
      <c r="AP70" s="5"/>
      <c r="AQ70" s="5"/>
      <c r="AR70" s="5"/>
      <c r="AS70" s="5"/>
      <c r="AT70" s="5"/>
      <c r="AU70" s="5"/>
      <c r="AV70" s="5"/>
      <c r="AW70" s="5"/>
      <c r="AX70" s="5"/>
      <c r="AY70" s="5"/>
      <c r="AZ70" s="6"/>
      <c r="BA70" s="6"/>
      <c r="BB70" s="6"/>
      <c r="BC70" s="6"/>
      <c r="BD70" s="6"/>
      <c r="BE70" s="6"/>
      <c r="BF70" s="6"/>
      <c r="BG70" s="6"/>
      <c r="BH70" s="6"/>
      <c r="BI70" s="6"/>
      <c r="BJ70" s="6"/>
      <c r="BK70" s="6"/>
      <c r="BL70" s="6"/>
      <c r="BM70" s="6"/>
      <c r="BN70" s="7"/>
      <c r="BO70" s="7"/>
      <c r="BP70" s="7"/>
      <c r="BQ70" s="7"/>
      <c r="BR70" s="23">
        <f>'BCB-DBGG-trimestral'!B12</f>
        <v>2010317.6601318899</v>
      </c>
      <c r="BS70" s="29">
        <f>'BCB-DBGG-trimestral'!C12</f>
        <v>55.782079834427122</v>
      </c>
      <c r="CB70" s="9"/>
      <c r="CC70" s="9"/>
      <c r="CD70" s="9"/>
      <c r="CE70" s="9"/>
    </row>
    <row r="71" spans="2:83">
      <c r="B71" s="30" t="s">
        <v>212</v>
      </c>
      <c r="C71" s="192">
        <v>997934.74025379226</v>
      </c>
      <c r="D71" s="191"/>
      <c r="E71" s="191"/>
      <c r="F71" s="191"/>
      <c r="G71" s="190">
        <v>0.88622612143764989</v>
      </c>
      <c r="H71" s="193">
        <v>179939.9012845931</v>
      </c>
      <c r="I71" s="191">
        <f t="shared" si="5"/>
        <v>18.031229300508294</v>
      </c>
      <c r="J71" s="192">
        <v>596732.42480506329</v>
      </c>
      <c r="K71" s="191">
        <f t="shared" si="6"/>
        <v>59.796738277024389</v>
      </c>
      <c r="L71" s="193">
        <v>126847.24147257433</v>
      </c>
      <c r="M71" s="191">
        <f t="shared" si="7"/>
        <v>12.710975613527079</v>
      </c>
      <c r="N71" s="193">
        <v>114224.83473903655</v>
      </c>
      <c r="O71" s="191">
        <f t="shared" si="8"/>
        <v>11.446122690346181</v>
      </c>
      <c r="P71" s="184">
        <v>0.49988105724040111</v>
      </c>
      <c r="Q71" s="189">
        <v>10.75</v>
      </c>
      <c r="R71" s="3"/>
      <c r="S71" s="189">
        <v>9.18</v>
      </c>
      <c r="T71" s="186">
        <v>1.7132299999999998</v>
      </c>
      <c r="U71" s="194">
        <v>571140</v>
      </c>
      <c r="V71" s="195">
        <v>-23931.447279250002</v>
      </c>
      <c r="W71" s="195">
        <f t="shared" si="9"/>
        <v>-4.1901192841072241</v>
      </c>
      <c r="X71" s="195">
        <v>118.29375387000002</v>
      </c>
      <c r="Y71" s="195">
        <f t="shared" si="10"/>
        <v>2.0711866419791999E-2</v>
      </c>
      <c r="Z71" s="195">
        <v>-21326.733403360005</v>
      </c>
      <c r="AA71" s="195">
        <f t="shared" si="11"/>
        <v>-3.7340640479322071</v>
      </c>
      <c r="AB71" s="195">
        <v>2486.4201220199966</v>
      </c>
      <c r="AC71" s="195">
        <f t="shared" si="12"/>
        <v>0.43534336975522575</v>
      </c>
      <c r="AD71" s="194">
        <v>275206</v>
      </c>
      <c r="AE71" s="195">
        <v>13.054538986065817</v>
      </c>
      <c r="AF71" s="195"/>
      <c r="AG71" s="195"/>
      <c r="AH71" s="194">
        <v>21520.113754520004</v>
      </c>
      <c r="AI71" s="195">
        <f t="shared" si="4"/>
        <v>3.7679227080085447</v>
      </c>
      <c r="AJ71" s="5"/>
      <c r="AK71" s="5"/>
      <c r="AL71" s="5"/>
      <c r="AM71" s="5"/>
      <c r="AN71" s="5"/>
      <c r="AO71" s="5"/>
      <c r="AP71" s="5"/>
      <c r="AQ71" s="5"/>
      <c r="AR71" s="5"/>
      <c r="AS71" s="5"/>
      <c r="AT71" s="5"/>
      <c r="AU71" s="5"/>
      <c r="AV71" s="5"/>
      <c r="AW71" s="5"/>
      <c r="AX71" s="5"/>
      <c r="AY71" s="5"/>
      <c r="AZ71" s="6"/>
      <c r="BA71" s="6"/>
      <c r="BB71" s="6"/>
      <c r="BC71" s="6"/>
      <c r="BD71" s="6"/>
      <c r="BE71" s="6"/>
      <c r="BF71" s="6"/>
      <c r="BG71" s="6"/>
      <c r="BH71" s="6"/>
      <c r="BI71" s="6"/>
      <c r="BJ71" s="6"/>
      <c r="BK71" s="6"/>
      <c r="BL71" s="6"/>
      <c r="BM71" s="6"/>
      <c r="BN71" s="7"/>
      <c r="BO71" s="7"/>
      <c r="BP71" s="7"/>
      <c r="BQ71" s="7"/>
      <c r="BR71" s="23">
        <f>'BCB-DBGG-trimestral'!B13</f>
        <v>2057909.3970781097</v>
      </c>
      <c r="BS71" s="29">
        <f>'BCB-DBGG-trimestral'!C13</f>
        <v>54.892680184807432</v>
      </c>
      <c r="CB71" s="9"/>
      <c r="CC71" s="9"/>
      <c r="CD71" s="9"/>
      <c r="CE71" s="9"/>
    </row>
    <row r="72" spans="2:83">
      <c r="B72" s="30" t="s">
        <v>213</v>
      </c>
      <c r="C72" s="192">
        <v>1057369.8255136234</v>
      </c>
      <c r="D72" s="191"/>
      <c r="E72" s="191"/>
      <c r="F72" s="191"/>
      <c r="G72" s="190">
        <v>1.3990208788935643</v>
      </c>
      <c r="H72" s="193">
        <v>222497.61089061334</v>
      </c>
      <c r="I72" s="191">
        <f t="shared" si="5"/>
        <v>21.042553468228004</v>
      </c>
      <c r="J72" s="192">
        <v>628475.4660647061</v>
      </c>
      <c r="K72" s="191">
        <f t="shared" si="6"/>
        <v>59.437620679162137</v>
      </c>
      <c r="L72" s="193">
        <v>123369.01281127021</v>
      </c>
      <c r="M72" s="191">
        <f t="shared" si="7"/>
        <v>11.667536734495238</v>
      </c>
      <c r="N72" s="193">
        <v>115899.67463169643</v>
      </c>
      <c r="O72" s="191">
        <f t="shared" si="8"/>
        <v>10.9611293830328</v>
      </c>
      <c r="P72" s="184">
        <v>2.2262809912068349</v>
      </c>
      <c r="Q72" s="189">
        <v>10.75</v>
      </c>
      <c r="R72" s="3"/>
      <c r="S72" s="189">
        <v>9.09</v>
      </c>
      <c r="T72" s="186">
        <v>1.6878900000000001</v>
      </c>
      <c r="U72" s="194">
        <v>624133</v>
      </c>
      <c r="V72" s="195">
        <v>-20337.767283089997</v>
      </c>
      <c r="W72" s="195">
        <f t="shared" si="9"/>
        <v>-3.2585630439489659</v>
      </c>
      <c r="X72" s="195">
        <v>12.174845170000008</v>
      </c>
      <c r="Y72" s="195">
        <f t="shared" si="10"/>
        <v>1.9506812121775339E-3</v>
      </c>
      <c r="Z72" s="195">
        <v>-17016.376941899998</v>
      </c>
      <c r="AA72" s="195">
        <f t="shared" si="11"/>
        <v>-2.7264023760800979</v>
      </c>
      <c r="AB72" s="195">
        <v>3309.2154960200005</v>
      </c>
      <c r="AC72" s="195">
        <f t="shared" si="12"/>
        <v>0.53020998665669028</v>
      </c>
      <c r="AD72" s="194">
        <v>288575</v>
      </c>
      <c r="AE72" s="195">
        <v>13.059169589320058</v>
      </c>
      <c r="AF72" s="195"/>
      <c r="AG72" s="195"/>
      <c r="AH72" s="194">
        <v>34661.893373469997</v>
      </c>
      <c r="AI72" s="195">
        <f t="shared" si="4"/>
        <v>5.5536069032513895</v>
      </c>
      <c r="AJ72" s="5"/>
      <c r="AK72" s="5"/>
      <c r="AL72" s="5"/>
      <c r="AM72" s="5"/>
      <c r="AN72" s="5"/>
      <c r="AO72" s="5"/>
      <c r="AP72" s="5"/>
      <c r="AQ72" s="5"/>
      <c r="AR72" s="5"/>
      <c r="AS72" s="5"/>
      <c r="AT72" s="5"/>
      <c r="AU72" s="5"/>
      <c r="AV72" s="5"/>
      <c r="AW72" s="5"/>
      <c r="AX72" s="5"/>
      <c r="AY72" s="5"/>
      <c r="AZ72" s="6"/>
      <c r="BA72" s="6"/>
      <c r="BB72" s="6"/>
      <c r="BC72" s="6"/>
      <c r="BD72" s="6"/>
      <c r="BE72" s="6"/>
      <c r="BF72" s="6"/>
      <c r="BG72" s="6"/>
      <c r="BH72" s="6"/>
      <c r="BI72" s="6"/>
      <c r="BJ72" s="6"/>
      <c r="BK72" s="6"/>
      <c r="BL72" s="6"/>
      <c r="BM72" s="6"/>
      <c r="BN72" s="7"/>
      <c r="BO72" s="7"/>
      <c r="BP72" s="7"/>
      <c r="BQ72" s="7"/>
      <c r="BR72" s="23">
        <f>'BCB-DBGG-trimestral'!B14</f>
        <v>2011521.6620492102</v>
      </c>
      <c r="BS72" s="29">
        <f>'BCB-DBGG-trimestral'!C14</f>
        <v>51.765333584509897</v>
      </c>
      <c r="CB72" s="9"/>
      <c r="CC72" s="9"/>
      <c r="CD72" s="9"/>
      <c r="CE72" s="9"/>
    </row>
    <row r="73" spans="2:83">
      <c r="B73" s="30" t="s">
        <v>206</v>
      </c>
      <c r="C73" s="192">
        <v>1016530.645498577</v>
      </c>
      <c r="D73" s="191"/>
      <c r="E73" s="191"/>
      <c r="F73" s="191"/>
      <c r="G73" s="190">
        <v>1.4030217275233792</v>
      </c>
      <c r="H73" s="193">
        <v>177786.20892343562</v>
      </c>
      <c r="I73" s="191">
        <f t="shared" si="5"/>
        <v>17.489508035071285</v>
      </c>
      <c r="J73" s="192">
        <v>623584.95689127455</v>
      </c>
      <c r="K73" s="191">
        <f t="shared" si="6"/>
        <v>61.344432620172043</v>
      </c>
      <c r="L73" s="193">
        <v>116373.90170087411</v>
      </c>
      <c r="M73" s="191">
        <f t="shared" si="7"/>
        <v>11.448144944395285</v>
      </c>
      <c r="N73" s="193">
        <v>103744.11074917304</v>
      </c>
      <c r="O73" s="191">
        <f t="shared" si="8"/>
        <v>10.205704196777042</v>
      </c>
      <c r="P73" s="184">
        <v>2.4396959845301325</v>
      </c>
      <c r="Q73" s="189">
        <v>11.75</v>
      </c>
      <c r="R73" s="188">
        <v>27.422288066567504</v>
      </c>
      <c r="S73" s="189">
        <v>11.04</v>
      </c>
      <c r="T73" s="186">
        <v>1.6559299999999997</v>
      </c>
      <c r="U73" s="194">
        <v>609903</v>
      </c>
      <c r="V73" s="195">
        <v>-22235.460974230002</v>
      </c>
      <c r="W73" s="195">
        <f t="shared" si="9"/>
        <v>-3.6457372687509331</v>
      </c>
      <c r="X73" s="195">
        <v>74.474191860000005</v>
      </c>
      <c r="Y73" s="195">
        <f t="shared" si="10"/>
        <v>1.2210825632928517E-2</v>
      </c>
      <c r="Z73" s="195">
        <v>-24399.494624189992</v>
      </c>
      <c r="AA73" s="195">
        <f t="shared" si="11"/>
        <v>-4.0005533050649023</v>
      </c>
      <c r="AB73" s="195">
        <v>-2238.5078418199887</v>
      </c>
      <c r="AC73" s="195">
        <f t="shared" si="12"/>
        <v>-0.36702686194689793</v>
      </c>
      <c r="AD73" s="194">
        <v>317146</v>
      </c>
      <c r="AE73" s="195">
        <v>13.605635373811129</v>
      </c>
      <c r="AF73" s="195"/>
      <c r="AG73" s="195"/>
      <c r="AH73" s="194">
        <v>25828.317622930001</v>
      </c>
      <c r="AI73" s="195">
        <f t="shared" si="4"/>
        <v>4.234823836401854</v>
      </c>
      <c r="AJ73" s="5"/>
      <c r="AK73" s="5"/>
      <c r="AL73" s="5"/>
      <c r="AM73" s="5"/>
      <c r="AN73" s="5"/>
      <c r="AO73" s="5"/>
      <c r="AP73" s="5"/>
      <c r="AQ73" s="5"/>
      <c r="AR73" s="5"/>
      <c r="AS73" s="5"/>
      <c r="AT73" s="5"/>
      <c r="AU73" s="5"/>
      <c r="AV73" s="5"/>
      <c r="AW73" s="5"/>
      <c r="AX73" s="5"/>
      <c r="AY73" s="5"/>
      <c r="AZ73" s="6"/>
      <c r="BA73" s="6"/>
      <c r="BB73" s="6"/>
      <c r="BC73" s="6"/>
      <c r="BD73" s="6"/>
      <c r="BE73" s="6"/>
      <c r="BF73" s="6"/>
      <c r="BG73" s="6"/>
      <c r="BH73" s="6"/>
      <c r="BI73" s="6"/>
      <c r="BJ73" s="6"/>
      <c r="BK73" s="6"/>
      <c r="BL73" s="6"/>
      <c r="BM73" s="6"/>
      <c r="BN73" s="7"/>
      <c r="BO73" s="7"/>
      <c r="BP73" s="7"/>
      <c r="BQ73" s="7"/>
      <c r="BR73" s="23">
        <f>'BCB-DBGG-trimestral'!B15</f>
        <v>2112891.0863336399</v>
      </c>
      <c r="BS73" s="29">
        <f>'BCB-DBGG-trimestral'!C15</f>
        <v>52.61208854655419</v>
      </c>
      <c r="CB73" s="9"/>
      <c r="CC73" s="9"/>
      <c r="CD73" s="9"/>
      <c r="CE73" s="9"/>
    </row>
    <row r="74" spans="2:83">
      <c r="B74" s="30" t="s">
        <v>207</v>
      </c>
      <c r="C74" s="192">
        <v>1086712.2281030051</v>
      </c>
      <c r="D74" s="191"/>
      <c r="E74" s="191"/>
      <c r="F74" s="191"/>
      <c r="G74" s="190">
        <v>0.91690019374128795</v>
      </c>
      <c r="H74" s="193">
        <v>199019.86190190844</v>
      </c>
      <c r="I74" s="191">
        <f t="shared" si="5"/>
        <v>18.31394335640476</v>
      </c>
      <c r="J74" s="192">
        <v>648648.81879152113</v>
      </c>
      <c r="K74" s="191">
        <f t="shared" si="6"/>
        <v>59.689106464166727</v>
      </c>
      <c r="L74" s="193">
        <v>130951.35850328488</v>
      </c>
      <c r="M74" s="191">
        <f t="shared" si="7"/>
        <v>12.050233273980655</v>
      </c>
      <c r="N74" s="193">
        <v>124992.60230149592</v>
      </c>
      <c r="O74" s="191">
        <f t="shared" si="8"/>
        <v>11.501904466436939</v>
      </c>
      <c r="P74" s="184">
        <v>1.3956003005626343</v>
      </c>
      <c r="Q74" s="189">
        <v>12.25</v>
      </c>
      <c r="R74" s="188">
        <v>27.572218672216398</v>
      </c>
      <c r="S74" s="189">
        <v>11.75</v>
      </c>
      <c r="T74" s="186">
        <v>1.5897399999999999</v>
      </c>
      <c r="U74" s="194">
        <v>680395</v>
      </c>
      <c r="V74" s="195">
        <v>-19021.877506805002</v>
      </c>
      <c r="W74" s="195">
        <f t="shared" si="9"/>
        <v>-2.7957109483175215</v>
      </c>
      <c r="X74" s="195">
        <v>31.655429120000001</v>
      </c>
      <c r="Y74" s="195">
        <f t="shared" si="10"/>
        <v>4.6525076051411318E-3</v>
      </c>
      <c r="Z74" s="195">
        <v>-19441.084174985004</v>
      </c>
      <c r="AA74" s="195">
        <f t="shared" si="11"/>
        <v>-2.8573231982870251</v>
      </c>
      <c r="AB74" s="195">
        <v>-450.86209729999973</v>
      </c>
      <c r="AC74" s="195">
        <f t="shared" si="12"/>
        <v>-6.6264757574644104E-2</v>
      </c>
      <c r="AD74" s="194">
        <v>335775</v>
      </c>
      <c r="AE74" s="195">
        <v>13.508968361796947</v>
      </c>
      <c r="AF74" s="195"/>
      <c r="AG74" s="195"/>
      <c r="AH74" s="194">
        <v>25359.617107149999</v>
      </c>
      <c r="AI74" s="195">
        <f t="shared" ref="AI74:AI131" si="13">AH74/U74*100</f>
        <v>3.727190397805686</v>
      </c>
      <c r="AJ74" s="5"/>
      <c r="AK74" s="5"/>
      <c r="AL74" s="5"/>
      <c r="AM74" s="5"/>
      <c r="AN74" s="5"/>
      <c r="AO74" s="5"/>
      <c r="AP74" s="5"/>
      <c r="AQ74" s="5"/>
      <c r="AR74" s="5"/>
      <c r="AS74" s="5"/>
      <c r="AT74" s="5"/>
      <c r="AU74" s="5"/>
      <c r="AV74" s="5"/>
      <c r="AW74" s="5"/>
      <c r="AX74" s="5"/>
      <c r="AY74" s="5"/>
      <c r="AZ74" s="6"/>
      <c r="BA74" s="6"/>
      <c r="BB74" s="6"/>
      <c r="BC74" s="6"/>
      <c r="BD74" s="6"/>
      <c r="BE74" s="6"/>
      <c r="BF74" s="6"/>
      <c r="BG74" s="6"/>
      <c r="BH74" s="6"/>
      <c r="BI74" s="6"/>
      <c r="BJ74" s="6"/>
      <c r="BK74" s="6"/>
      <c r="BL74" s="6"/>
      <c r="BM74" s="6"/>
      <c r="BN74" s="7"/>
      <c r="BO74" s="7"/>
      <c r="BP74" s="7"/>
      <c r="BQ74" s="7"/>
      <c r="BR74" s="23">
        <f>'BCB-DBGG-trimestral'!B16</f>
        <v>2177090.4113727701</v>
      </c>
      <c r="BS74" s="29">
        <f>'BCB-DBGG-trimestral'!C16</f>
        <v>52.352184100684738</v>
      </c>
      <c r="CB74" s="9"/>
      <c r="CC74" s="9"/>
      <c r="CD74" s="9"/>
      <c r="CE74" s="9"/>
    </row>
    <row r="75" spans="2:83">
      <c r="B75" s="30" t="s">
        <v>208</v>
      </c>
      <c r="C75" s="192">
        <v>1112334.2238350874</v>
      </c>
      <c r="D75" s="191"/>
      <c r="E75" s="191"/>
      <c r="F75" s="191"/>
      <c r="G75" s="190">
        <v>-0.16667755500819892</v>
      </c>
      <c r="H75" s="193">
        <v>199027.27610244241</v>
      </c>
      <c r="I75" s="191">
        <f t="shared" si="5"/>
        <v>17.8927584747181</v>
      </c>
      <c r="J75" s="192">
        <v>668612.01057171973</v>
      </c>
      <c r="K75" s="191">
        <f t="shared" si="6"/>
        <v>60.108912972801498</v>
      </c>
      <c r="L75" s="193">
        <v>141578.78424530447</v>
      </c>
      <c r="M75" s="191">
        <f t="shared" si="7"/>
        <v>12.728079493694935</v>
      </c>
      <c r="N75" s="193">
        <v>137086.16532353911</v>
      </c>
      <c r="O75" s="191">
        <f t="shared" si="8"/>
        <v>12.324188394644167</v>
      </c>
      <c r="P75" s="184">
        <v>1.0633971472036876</v>
      </c>
      <c r="Q75" s="189">
        <v>12</v>
      </c>
      <c r="R75" s="188">
        <v>27.272519000317018</v>
      </c>
      <c r="S75" s="189">
        <v>11.15</v>
      </c>
      <c r="T75" s="186">
        <v>1.8308300000000002</v>
      </c>
      <c r="U75" s="194">
        <v>680127</v>
      </c>
      <c r="V75" s="195">
        <v>-20604.273069825009</v>
      </c>
      <c r="W75" s="195">
        <f t="shared" si="9"/>
        <v>-3.0294743584396753</v>
      </c>
      <c r="X75" s="195">
        <v>111.87862799000001</v>
      </c>
      <c r="Y75" s="195">
        <f t="shared" si="10"/>
        <v>1.6449667193038947E-2</v>
      </c>
      <c r="Z75" s="195">
        <v>-22836.199587464998</v>
      </c>
      <c r="AA75" s="195">
        <f t="shared" si="11"/>
        <v>-3.3576375570246437</v>
      </c>
      <c r="AB75" s="195">
        <v>-2343.8051456299886</v>
      </c>
      <c r="AC75" s="195">
        <f t="shared" si="12"/>
        <v>-0.34461286577800743</v>
      </c>
      <c r="AD75" s="194">
        <v>349708</v>
      </c>
      <c r="AE75" s="195">
        <v>13.478519269948869</v>
      </c>
      <c r="AF75" s="195"/>
      <c r="AG75" s="195"/>
      <c r="AH75" s="194">
        <v>26601.229515899999</v>
      </c>
      <c r="AI75" s="195">
        <f t="shared" si="13"/>
        <v>3.911215040117507</v>
      </c>
      <c r="AJ75" s="5"/>
      <c r="AK75" s="5"/>
      <c r="AL75" s="5"/>
      <c r="AM75" s="5"/>
      <c r="AN75" s="5"/>
      <c r="AO75" s="5"/>
      <c r="AP75" s="5"/>
      <c r="AQ75" s="5"/>
      <c r="AR75" s="5"/>
      <c r="AS75" s="5"/>
      <c r="AT75" s="5"/>
      <c r="AU75" s="5"/>
      <c r="AV75" s="5"/>
      <c r="AW75" s="5"/>
      <c r="AX75" s="5"/>
      <c r="AY75" s="5"/>
      <c r="AZ75" s="6"/>
      <c r="BA75" s="6"/>
      <c r="BB75" s="6"/>
      <c r="BC75" s="6"/>
      <c r="BD75" s="6"/>
      <c r="BE75" s="6"/>
      <c r="BF75" s="6"/>
      <c r="BG75" s="6"/>
      <c r="BH75" s="6"/>
      <c r="BI75" s="6"/>
      <c r="BJ75" s="6"/>
      <c r="BK75" s="6"/>
      <c r="BL75" s="6"/>
      <c r="BM75" s="6"/>
      <c r="BN75" s="7"/>
      <c r="BO75" s="7"/>
      <c r="BP75" s="7"/>
      <c r="BQ75" s="7"/>
      <c r="BR75" s="23">
        <f>'BCB-DBGG-trimestral'!B17</f>
        <v>2226487.1866218895</v>
      </c>
      <c r="BS75" s="29">
        <f>'BCB-DBGG-trimestral'!C17</f>
        <v>52.106595910734924</v>
      </c>
      <c r="CB75" s="9"/>
      <c r="CC75" s="9"/>
      <c r="CD75" s="9"/>
      <c r="CE75" s="9"/>
    </row>
    <row r="76" spans="2:83">
      <c r="B76" s="30" t="s">
        <v>209</v>
      </c>
      <c r="C76" s="192">
        <v>1160804.902417087</v>
      </c>
      <c r="D76" s="191"/>
      <c r="E76" s="191"/>
      <c r="F76" s="191"/>
      <c r="G76" s="190">
        <v>0.94437205487600817</v>
      </c>
      <c r="H76" s="193">
        <v>241204.65313800584</v>
      </c>
      <c r="I76" s="191">
        <f t="shared" si="5"/>
        <v>20.779086359452588</v>
      </c>
      <c r="J76" s="192">
        <v>696968.2129861766</v>
      </c>
      <c r="K76" s="191">
        <f t="shared" si="6"/>
        <v>60.041804745561798</v>
      </c>
      <c r="L76" s="193">
        <v>151661.95544126153</v>
      </c>
      <c r="M76" s="191">
        <f t="shared" si="7"/>
        <v>13.06524077607385</v>
      </c>
      <c r="N76" s="193">
        <v>141072.12165193321</v>
      </c>
      <c r="O76" s="191">
        <f t="shared" si="8"/>
        <v>12.152957086775363</v>
      </c>
      <c r="P76" s="184">
        <v>1.4569950966511129</v>
      </c>
      <c r="Q76" s="189">
        <v>11</v>
      </c>
      <c r="R76" s="188">
        <v>25.783678260898736</v>
      </c>
      <c r="S76" s="189">
        <v>10.220000000000001</v>
      </c>
      <c r="T76" s="186">
        <v>1.8611899999999999</v>
      </c>
      <c r="U76" s="194">
        <v>644059</v>
      </c>
      <c r="V76" s="195">
        <v>-21714.594433504997</v>
      </c>
      <c r="W76" s="195">
        <f t="shared" si="9"/>
        <v>-3.3715225520495786</v>
      </c>
      <c r="X76" s="195">
        <v>37.786501709999996</v>
      </c>
      <c r="Y76" s="195">
        <f t="shared" si="10"/>
        <v>5.866931711225213E-3</v>
      </c>
      <c r="Z76" s="195">
        <v>-22311.994470655001</v>
      </c>
      <c r="AA76" s="195">
        <f t="shared" si="11"/>
        <v>-3.4642780351885465</v>
      </c>
      <c r="AB76" s="195">
        <v>-635.18653886000322</v>
      </c>
      <c r="AC76" s="195">
        <f t="shared" si="12"/>
        <v>-9.8622414850192797E-2</v>
      </c>
      <c r="AD76" s="194">
        <v>352012</v>
      </c>
      <c r="AE76" s="195">
        <v>13.463918692942853</v>
      </c>
      <c r="AF76" s="195"/>
      <c r="AG76" s="195"/>
      <c r="AH76" s="194">
        <v>24638.06398544</v>
      </c>
      <c r="AI76" s="195">
        <f t="shared" si="13"/>
        <v>3.8254358661923828</v>
      </c>
      <c r="AJ76" s="5"/>
      <c r="AK76" s="5"/>
      <c r="AL76" s="5"/>
      <c r="AM76" s="5"/>
      <c r="AN76" s="5"/>
      <c r="AO76" s="5"/>
      <c r="AP76" s="5"/>
      <c r="AQ76" s="5"/>
      <c r="AR76" s="5"/>
      <c r="AS76" s="5"/>
      <c r="AT76" s="5"/>
      <c r="AU76" s="5"/>
      <c r="AV76" s="5"/>
      <c r="AW76" s="5"/>
      <c r="AX76" s="5"/>
      <c r="AY76" s="5"/>
      <c r="AZ76" s="6"/>
      <c r="BA76" s="6"/>
      <c r="BB76" s="6"/>
      <c r="BC76" s="6"/>
      <c r="BD76" s="6"/>
      <c r="BE76" s="6"/>
      <c r="BF76" s="6"/>
      <c r="BG76" s="6"/>
      <c r="BH76" s="6"/>
      <c r="BI76" s="6"/>
      <c r="BJ76" s="6"/>
      <c r="BK76" s="6"/>
      <c r="BL76" s="6"/>
      <c r="BM76" s="6"/>
      <c r="BN76" s="7"/>
      <c r="BO76" s="7"/>
      <c r="BP76" s="7"/>
      <c r="BQ76" s="7"/>
      <c r="BR76" s="23">
        <f>'BCB-DBGG-trimestral'!B18</f>
        <v>2243603.7151232501</v>
      </c>
      <c r="BS76" s="29">
        <f>'BCB-DBGG-trimestral'!C18</f>
        <v>51.266176380357606</v>
      </c>
      <c r="CB76" s="9"/>
      <c r="CC76" s="9"/>
      <c r="CD76" s="9"/>
      <c r="CE76" s="9"/>
    </row>
    <row r="77" spans="2:83">
      <c r="B77" s="30" t="s">
        <v>202</v>
      </c>
      <c r="C77" s="192">
        <v>1129474.13972528</v>
      </c>
      <c r="D77" s="191"/>
      <c r="E77" s="191"/>
      <c r="F77" s="191"/>
      <c r="G77" s="190">
        <v>-1.4237513467821872</v>
      </c>
      <c r="H77" s="193">
        <v>194540.36526588516</v>
      </c>
      <c r="I77" s="191">
        <f t="shared" si="5"/>
        <v>17.223976930822239</v>
      </c>
      <c r="J77" s="192">
        <v>694700.85227773362</v>
      </c>
      <c r="K77" s="191">
        <f t="shared" si="6"/>
        <v>61.50657441760503</v>
      </c>
      <c r="L77" s="193">
        <v>137047.68114278323</v>
      </c>
      <c r="M77" s="191">
        <f t="shared" si="7"/>
        <v>12.133759979322511</v>
      </c>
      <c r="N77" s="193">
        <v>119042.57190181757</v>
      </c>
      <c r="O77" s="191">
        <f t="shared" si="8"/>
        <v>10.539645638170352</v>
      </c>
      <c r="P77" s="184">
        <v>1.2245389616685287</v>
      </c>
      <c r="Q77" s="189">
        <v>9.75</v>
      </c>
      <c r="R77" s="188">
        <v>26.526091226523143</v>
      </c>
      <c r="S77" s="189">
        <v>8.92</v>
      </c>
      <c r="T77" s="186">
        <v>1.8211599999999997</v>
      </c>
      <c r="U77" s="194">
        <v>638271</v>
      </c>
      <c r="V77" s="195">
        <v>-24654.722571574996</v>
      </c>
      <c r="W77" s="195">
        <f t="shared" si="9"/>
        <v>-3.8627358240582756</v>
      </c>
      <c r="X77" s="195">
        <v>28.572477230000001</v>
      </c>
      <c r="Y77" s="195">
        <f t="shared" si="10"/>
        <v>4.4765432285032531E-3</v>
      </c>
      <c r="Z77" s="195">
        <v>-24157.388725645003</v>
      </c>
      <c r="AA77" s="195">
        <f t="shared" si="11"/>
        <v>-3.7848169078095357</v>
      </c>
      <c r="AB77" s="195">
        <v>468.76136869999391</v>
      </c>
      <c r="AC77" s="195">
        <f t="shared" si="12"/>
        <v>7.3442373020236526E-2</v>
      </c>
      <c r="AD77" s="194">
        <v>365216</v>
      </c>
      <c r="AE77" s="195">
        <v>13.819010674831583</v>
      </c>
      <c r="AF77" s="195"/>
      <c r="AG77" s="195"/>
      <c r="AH77" s="194">
        <v>29412.84114375</v>
      </c>
      <c r="AI77" s="195">
        <f t="shared" si="13"/>
        <v>4.6082057846510338</v>
      </c>
      <c r="AJ77" s="5"/>
      <c r="AK77" s="5"/>
      <c r="AL77" s="5"/>
      <c r="AM77" s="5"/>
      <c r="AN77" s="5"/>
      <c r="AO77" s="5"/>
      <c r="AP77" s="5"/>
      <c r="AQ77" s="5"/>
      <c r="AR77" s="5"/>
      <c r="AS77" s="5"/>
      <c r="AT77" s="5"/>
      <c r="AU77" s="5"/>
      <c r="AV77" s="5"/>
      <c r="AW77" s="5"/>
      <c r="AX77" s="5"/>
      <c r="AY77" s="5"/>
      <c r="AZ77" s="6"/>
      <c r="BA77" s="6"/>
      <c r="BB77" s="6"/>
      <c r="BC77" s="6"/>
      <c r="BD77" s="6"/>
      <c r="BE77" s="6"/>
      <c r="BF77" s="6"/>
      <c r="BG77" s="6"/>
      <c r="BH77" s="6"/>
      <c r="BI77" s="6"/>
      <c r="BJ77" s="6"/>
      <c r="BK77" s="6"/>
      <c r="BL77" s="6"/>
      <c r="BM77" s="6"/>
      <c r="BN77" s="7"/>
      <c r="BO77" s="7"/>
      <c r="BP77" s="7"/>
      <c r="BQ77" s="7"/>
      <c r="BR77" s="23">
        <f>'BCB-DBGG-trimestral'!B19</f>
        <v>2366667.4559696396</v>
      </c>
      <c r="BS77" s="29">
        <f>'BCB-DBGG-trimestral'!C19</f>
        <v>52.717662354629503</v>
      </c>
      <c r="CB77" s="9"/>
      <c r="CC77" s="9"/>
      <c r="CD77" s="9"/>
      <c r="CE77" s="9"/>
    </row>
    <row r="78" spans="2:83">
      <c r="B78" s="30" t="s">
        <v>203</v>
      </c>
      <c r="C78" s="192">
        <v>1183125.6290150515</v>
      </c>
      <c r="D78" s="191"/>
      <c r="E78" s="191"/>
      <c r="F78" s="191"/>
      <c r="G78" s="190">
        <v>1.743835979017816</v>
      </c>
      <c r="H78" s="193">
        <v>215509.07340369321</v>
      </c>
      <c r="I78" s="191">
        <f t="shared" ref="I78:I130" si="14">H78/C78*100</f>
        <v>18.215231596589103</v>
      </c>
      <c r="J78" s="192">
        <v>718125.67520391464</v>
      </c>
      <c r="K78" s="191">
        <f t="shared" ref="K78:K130" si="15">J78/C78*100</f>
        <v>60.697330663164827</v>
      </c>
      <c r="L78" s="193">
        <v>160923.09990899084</v>
      </c>
      <c r="M78" s="191">
        <f t="shared" ref="M78:M130" si="16">L78/C78*100</f>
        <v>13.601522607785855</v>
      </c>
      <c r="N78" s="193">
        <v>146495.83501402879</v>
      </c>
      <c r="O78" s="191">
        <f t="shared" ref="O78:O130" si="17">N78/C78*100</f>
        <v>12.382103085366017</v>
      </c>
      <c r="P78" s="184">
        <v>1.0828899898705799</v>
      </c>
      <c r="Q78" s="189">
        <v>8.5</v>
      </c>
      <c r="R78" s="188">
        <v>23.580332236181256</v>
      </c>
      <c r="S78" s="189">
        <v>7.65</v>
      </c>
      <c r="T78" s="186">
        <v>2.05627</v>
      </c>
      <c r="U78" s="194">
        <v>602799</v>
      </c>
      <c r="V78" s="195">
        <v>-21507.089188630009</v>
      </c>
      <c r="W78" s="195">
        <f t="shared" ref="W78:W131" si="18">V78/U78*100</f>
        <v>-3.5678707477334912</v>
      </c>
      <c r="X78" s="195">
        <v>42.452798009999995</v>
      </c>
      <c r="Y78" s="195">
        <f t="shared" ref="Y78:Y131" si="19">X78/U78*100</f>
        <v>7.0426125474660701E-3</v>
      </c>
      <c r="Z78" s="195">
        <v>-23211.953655070007</v>
      </c>
      <c r="AA78" s="195">
        <f t="shared" ref="AA78:AA131" si="20">Z78/U78*100</f>
        <v>-3.8506954482456024</v>
      </c>
      <c r="AB78" s="195">
        <v>-1747.3172644499964</v>
      </c>
      <c r="AC78" s="195">
        <f t="shared" ref="AC78:AC131" si="21">AB78/U78*100</f>
        <v>-0.28986731305957647</v>
      </c>
      <c r="AD78" s="194">
        <v>373910</v>
      </c>
      <c r="AE78" s="195">
        <v>14.575933162226304</v>
      </c>
      <c r="AF78" s="195"/>
      <c r="AG78" s="195"/>
      <c r="AH78" s="194">
        <v>17012.546974620003</v>
      </c>
      <c r="AI78" s="195">
        <f t="shared" si="13"/>
        <v>2.8222586591251817</v>
      </c>
      <c r="AJ78" s="5"/>
      <c r="AK78" s="5"/>
      <c r="AL78" s="5"/>
      <c r="AM78" s="5"/>
      <c r="AN78" s="5"/>
      <c r="AO78" s="5"/>
      <c r="AP78" s="5"/>
      <c r="AQ78" s="5"/>
      <c r="AR78" s="5"/>
      <c r="AS78" s="5"/>
      <c r="AT78" s="5"/>
      <c r="AU78" s="5"/>
      <c r="AV78" s="5"/>
      <c r="AW78" s="5"/>
      <c r="AX78" s="5"/>
      <c r="AY78" s="5"/>
      <c r="AZ78" s="6"/>
      <c r="BA78" s="6"/>
      <c r="BB78" s="6"/>
      <c r="BC78" s="6"/>
      <c r="BD78" s="6"/>
      <c r="BE78" s="6"/>
      <c r="BF78" s="6"/>
      <c r="BG78" s="6"/>
      <c r="BH78" s="6"/>
      <c r="BI78" s="6"/>
      <c r="BJ78" s="6"/>
      <c r="BK78" s="6"/>
      <c r="BL78" s="6"/>
      <c r="BM78" s="6"/>
      <c r="BN78" s="7"/>
      <c r="BO78" s="7"/>
      <c r="BP78" s="7"/>
      <c r="BQ78" s="7"/>
      <c r="BR78" s="23">
        <f>'BCB-DBGG-trimestral'!B20</f>
        <v>2449693.3581987303</v>
      </c>
      <c r="BS78" s="29">
        <f>'BCB-DBGG-trimestral'!C20</f>
        <v>53.419817706449059</v>
      </c>
      <c r="CB78" s="9"/>
      <c r="CC78" s="9"/>
      <c r="CD78" s="9"/>
      <c r="CE78" s="9"/>
    </row>
    <row r="79" spans="2:83">
      <c r="B79" s="30" t="s">
        <v>204</v>
      </c>
      <c r="C79" s="192">
        <v>1230448.8284066338</v>
      </c>
      <c r="D79" s="191"/>
      <c r="E79" s="191"/>
      <c r="F79" s="191"/>
      <c r="G79" s="190">
        <v>1.7069923332261983</v>
      </c>
      <c r="H79" s="193">
        <v>215552.70415904708</v>
      </c>
      <c r="I79" s="191">
        <f t="shared" si="14"/>
        <v>17.518217676567374</v>
      </c>
      <c r="J79" s="192">
        <v>753550.96745268907</v>
      </c>
      <c r="K79" s="191">
        <f t="shared" si="15"/>
        <v>61.241959036077731</v>
      </c>
      <c r="L79" s="193">
        <v>162813.85707190877</v>
      </c>
      <c r="M79" s="191">
        <f t="shared" si="16"/>
        <v>13.232070551259259</v>
      </c>
      <c r="N79" s="193">
        <v>153302.58971293399</v>
      </c>
      <c r="O79" s="191">
        <f t="shared" si="17"/>
        <v>12.459078847793512</v>
      </c>
      <c r="P79" s="184">
        <v>1.4167087793448871</v>
      </c>
      <c r="Q79" s="189">
        <v>7.5</v>
      </c>
      <c r="R79" s="188">
        <v>22.275365033253248</v>
      </c>
      <c r="S79" s="189">
        <v>7.13</v>
      </c>
      <c r="T79" s="186">
        <v>2.02807</v>
      </c>
      <c r="U79" s="194">
        <v>605760</v>
      </c>
      <c r="V79" s="195">
        <v>-19093.425106399995</v>
      </c>
      <c r="W79" s="195">
        <f t="shared" si="18"/>
        <v>-3.1519785239038556</v>
      </c>
      <c r="X79" s="195">
        <v>106.07299245999999</v>
      </c>
      <c r="Y79" s="195">
        <f t="shared" si="19"/>
        <v>1.7510729077522449E-2</v>
      </c>
      <c r="Z79" s="195">
        <v>-22472.774629150001</v>
      </c>
      <c r="AA79" s="195">
        <f t="shared" si="20"/>
        <v>-3.7098478983673404</v>
      </c>
      <c r="AB79" s="195">
        <v>-3485.4225152100062</v>
      </c>
      <c r="AC79" s="195">
        <f t="shared" si="21"/>
        <v>-0.57538010354100733</v>
      </c>
      <c r="AD79" s="194">
        <v>378726</v>
      </c>
      <c r="AE79" s="195">
        <v>15.204451101594652</v>
      </c>
      <c r="AF79" s="195"/>
      <c r="AG79" s="195"/>
      <c r="AH79" s="194">
        <v>22104.660851950001</v>
      </c>
      <c r="AI79" s="195">
        <f t="shared" si="13"/>
        <v>3.6490789837476889</v>
      </c>
      <c r="AJ79" s="5"/>
      <c r="AK79" s="5"/>
      <c r="AL79" s="5"/>
      <c r="AM79" s="5"/>
      <c r="AN79" s="5"/>
      <c r="AO79" s="5"/>
      <c r="AP79" s="5"/>
      <c r="AQ79" s="5"/>
      <c r="AR79" s="5"/>
      <c r="AS79" s="5"/>
      <c r="AT79" s="5"/>
      <c r="AU79" s="5"/>
      <c r="AV79" s="5"/>
      <c r="AW79" s="5"/>
      <c r="AX79" s="5"/>
      <c r="AY79" s="5"/>
      <c r="AZ79" s="6"/>
      <c r="BA79" s="6"/>
      <c r="BB79" s="6"/>
      <c r="BC79" s="6"/>
      <c r="BD79" s="6"/>
      <c r="BE79" s="6"/>
      <c r="BF79" s="6"/>
      <c r="BG79" s="6"/>
      <c r="BH79" s="6"/>
      <c r="BI79" s="6"/>
      <c r="BJ79" s="6"/>
      <c r="BK79" s="6"/>
      <c r="BL79" s="6"/>
      <c r="BM79" s="6"/>
      <c r="BN79" s="7"/>
      <c r="BO79" s="7"/>
      <c r="BP79" s="7"/>
      <c r="BQ79" s="7"/>
      <c r="BR79" s="23">
        <f>'BCB-DBGG-trimestral'!B21</f>
        <v>2542432.6927951397</v>
      </c>
      <c r="BS79" s="29">
        <f>'BCB-DBGG-trimestral'!C21</f>
        <v>54.04999736983244</v>
      </c>
      <c r="CB79" s="9"/>
      <c r="CC79" s="9"/>
      <c r="CD79" s="9"/>
      <c r="CE79" s="9"/>
    </row>
    <row r="80" spans="2:83">
      <c r="B80" s="30" t="s">
        <v>205</v>
      </c>
      <c r="C80" s="192">
        <v>1271711.4024875236</v>
      </c>
      <c r="D80" s="191"/>
      <c r="E80" s="191"/>
      <c r="F80" s="191"/>
      <c r="G80" s="190">
        <v>0.12768120947710404</v>
      </c>
      <c r="H80" s="193">
        <v>266577.85710465541</v>
      </c>
      <c r="I80" s="191">
        <f t="shared" si="14"/>
        <v>20.96213469370624</v>
      </c>
      <c r="J80" s="192">
        <v>790456.50440870516</v>
      </c>
      <c r="K80" s="191">
        <f t="shared" si="15"/>
        <v>62.156909410620784</v>
      </c>
      <c r="L80" s="193">
        <v>176532.36174872518</v>
      </c>
      <c r="M80" s="191">
        <f t="shared" si="16"/>
        <v>13.881479823442652</v>
      </c>
      <c r="N80" s="193">
        <v>153034.00348784222</v>
      </c>
      <c r="O80" s="191">
        <f t="shared" si="17"/>
        <v>12.033705382251112</v>
      </c>
      <c r="P80" s="184">
        <v>1.9931711239333367</v>
      </c>
      <c r="Q80" s="189">
        <v>7.25</v>
      </c>
      <c r="R80" s="188">
        <v>20.412703266704945</v>
      </c>
      <c r="S80" s="189">
        <v>6.64</v>
      </c>
      <c r="T80" s="186">
        <v>2.06738</v>
      </c>
      <c r="U80" s="194">
        <v>616719</v>
      </c>
      <c r="V80" s="195">
        <v>-27422.93446976499</v>
      </c>
      <c r="W80" s="195">
        <f t="shared" si="18"/>
        <v>-4.4465849876142931</v>
      </c>
      <c r="X80" s="195">
        <v>30.816033190000006</v>
      </c>
      <c r="Y80" s="195">
        <f t="shared" si="19"/>
        <v>4.9967705210963182E-3</v>
      </c>
      <c r="Z80" s="195">
        <v>-24087.578149645</v>
      </c>
      <c r="AA80" s="195">
        <f t="shared" si="20"/>
        <v>-3.9057622920073811</v>
      </c>
      <c r="AB80" s="195">
        <v>3304.5402869299942</v>
      </c>
      <c r="AC80" s="195">
        <f t="shared" si="21"/>
        <v>0.53582592508581617</v>
      </c>
      <c r="AD80" s="194">
        <v>373147</v>
      </c>
      <c r="AE80" s="195">
        <v>15.146725313764817</v>
      </c>
      <c r="AF80" s="195"/>
      <c r="AG80" s="195"/>
      <c r="AH80" s="194">
        <v>24038.33935102</v>
      </c>
      <c r="AI80" s="195">
        <f t="shared" si="13"/>
        <v>3.8977782995205277</v>
      </c>
      <c r="AJ80" s="5"/>
      <c r="AK80" s="5"/>
      <c r="AL80" s="5"/>
      <c r="AM80" s="5"/>
      <c r="AN80" s="5"/>
      <c r="AO80" s="5"/>
      <c r="AP80" s="5"/>
      <c r="AQ80" s="5"/>
      <c r="AR80" s="5"/>
      <c r="AS80" s="5"/>
      <c r="AT80" s="5"/>
      <c r="AU80" s="5"/>
      <c r="AV80" s="5"/>
      <c r="AW80" s="5"/>
      <c r="AX80" s="5"/>
      <c r="AY80" s="5"/>
      <c r="AZ80" s="6"/>
      <c r="BA80" s="6"/>
      <c r="BB80" s="6"/>
      <c r="BC80" s="6"/>
      <c r="BD80" s="6"/>
      <c r="BE80" s="6"/>
      <c r="BF80" s="6"/>
      <c r="BG80" s="6"/>
      <c r="BH80" s="6"/>
      <c r="BI80" s="6"/>
      <c r="BJ80" s="6"/>
      <c r="BK80" s="6"/>
      <c r="BL80" s="6"/>
      <c r="BM80" s="6"/>
      <c r="BN80" s="7"/>
      <c r="BO80" s="7"/>
      <c r="BP80" s="7"/>
      <c r="BQ80" s="7"/>
      <c r="BR80" s="23">
        <f>'BCB-DBGG-trimestral'!B22</f>
        <v>2583946.3544326103</v>
      </c>
      <c r="BS80" s="29">
        <f>'BCB-DBGG-trimestral'!C22</f>
        <v>53.66718911490436</v>
      </c>
      <c r="CB80" s="9"/>
      <c r="CC80" s="9"/>
      <c r="CD80" s="9"/>
      <c r="CE80" s="9"/>
    </row>
    <row r="81" spans="2:83">
      <c r="B81" s="30" t="s">
        <v>198</v>
      </c>
      <c r="C81" s="192">
        <v>1241613.6455021545</v>
      </c>
      <c r="D81" s="191"/>
      <c r="E81" s="191"/>
      <c r="F81" s="191"/>
      <c r="G81" s="190">
        <v>0.44427137884770485</v>
      </c>
      <c r="H81" s="193">
        <v>214488.1706326131</v>
      </c>
      <c r="I81" s="191">
        <f t="shared" si="14"/>
        <v>17.274952752783747</v>
      </c>
      <c r="J81" s="192">
        <v>777712.90193388856</v>
      </c>
      <c r="K81" s="191">
        <f t="shared" si="15"/>
        <v>62.637270841152258</v>
      </c>
      <c r="L81" s="193">
        <v>164279.70086383898</v>
      </c>
      <c r="M81" s="191">
        <f t="shared" si="16"/>
        <v>13.231144926520052</v>
      </c>
      <c r="N81" s="193">
        <v>125320.8233790456</v>
      </c>
      <c r="O81" s="191">
        <f t="shared" si="17"/>
        <v>10.093383222150496</v>
      </c>
      <c r="P81" s="184">
        <v>1.9420062956979365</v>
      </c>
      <c r="Q81" s="189">
        <v>7.25</v>
      </c>
      <c r="R81" s="188">
        <v>20.98304065090819</v>
      </c>
      <c r="S81" s="189">
        <v>6.68</v>
      </c>
      <c r="T81" s="186">
        <v>1.99925</v>
      </c>
      <c r="U81" s="194">
        <v>620346</v>
      </c>
      <c r="V81" s="195">
        <v>-27525.405480350004</v>
      </c>
      <c r="W81" s="195">
        <f t="shared" si="18"/>
        <v>-4.4371053380452201</v>
      </c>
      <c r="X81" s="195">
        <v>97.85413865999999</v>
      </c>
      <c r="Y81" s="195">
        <f t="shared" si="19"/>
        <v>1.5774122612219631E-2</v>
      </c>
      <c r="Z81" s="195">
        <v>-28246.479756890003</v>
      </c>
      <c r="AA81" s="195">
        <f t="shared" si="20"/>
        <v>-4.5533427727252214</v>
      </c>
      <c r="AB81" s="195">
        <v>-818.92841519999638</v>
      </c>
      <c r="AC81" s="195">
        <f t="shared" si="21"/>
        <v>-0.13201155729222019</v>
      </c>
      <c r="AD81" s="194">
        <v>376934</v>
      </c>
      <c r="AE81" s="195">
        <v>15.412589997481216</v>
      </c>
      <c r="AF81" s="195"/>
      <c r="AG81" s="195"/>
      <c r="AH81" s="194">
        <v>14654.774180240001</v>
      </c>
      <c r="AI81" s="195">
        <f t="shared" si="13"/>
        <v>2.3623549084285225</v>
      </c>
      <c r="AJ81" s="5"/>
      <c r="AK81" s="5"/>
      <c r="AL81" s="5"/>
      <c r="AM81" s="5"/>
      <c r="AN81" s="5"/>
      <c r="AO81" s="5"/>
      <c r="AP81" s="5"/>
      <c r="AQ81" s="5"/>
      <c r="AR81" s="5"/>
      <c r="AS81" s="5"/>
      <c r="AT81" s="5"/>
      <c r="AU81" s="5"/>
      <c r="AV81" s="5"/>
      <c r="AW81" s="5"/>
      <c r="AX81" s="5"/>
      <c r="AY81" s="5"/>
      <c r="AZ81" s="6"/>
      <c r="BA81" s="6"/>
      <c r="BB81" s="6"/>
      <c r="BC81" s="6"/>
      <c r="BD81" s="6"/>
      <c r="BE81" s="6"/>
      <c r="BF81" s="6"/>
      <c r="BG81" s="6"/>
      <c r="BH81" s="6"/>
      <c r="BI81" s="6"/>
      <c r="BJ81" s="6"/>
      <c r="BK81" s="6"/>
      <c r="BL81" s="6"/>
      <c r="BM81" s="6"/>
      <c r="BN81" s="7"/>
      <c r="BO81" s="7"/>
      <c r="BP81" s="7"/>
      <c r="BQ81" s="7"/>
      <c r="BR81" s="23">
        <f>'BCB-DBGG-trimestral'!B23</f>
        <v>2663208.8336991295</v>
      </c>
      <c r="BS81" s="29">
        <f>'BCB-DBGG-trimestral'!C23</f>
        <v>54.054458199807975</v>
      </c>
      <c r="CB81" s="9"/>
      <c r="CC81" s="9"/>
      <c r="CD81" s="9"/>
      <c r="CE81" s="9"/>
    </row>
    <row r="82" spans="2:83">
      <c r="B82" s="30" t="s">
        <v>199</v>
      </c>
      <c r="C82" s="192">
        <v>1322579.9828790473</v>
      </c>
      <c r="D82" s="191"/>
      <c r="E82" s="191"/>
      <c r="F82" s="191"/>
      <c r="G82" s="190">
        <v>1.4356852148597277</v>
      </c>
      <c r="H82" s="193">
        <v>247032.97674583242</v>
      </c>
      <c r="I82" s="191">
        <f t="shared" si="14"/>
        <v>18.678112472871451</v>
      </c>
      <c r="J82" s="192">
        <v>805984.63806323556</v>
      </c>
      <c r="K82" s="191">
        <f t="shared" si="15"/>
        <v>60.940332418212961</v>
      </c>
      <c r="L82" s="193">
        <v>181368.75779347232</v>
      </c>
      <c r="M82" s="191">
        <f t="shared" si="16"/>
        <v>13.713254407394043</v>
      </c>
      <c r="N82" s="193">
        <v>156292.68627487071</v>
      </c>
      <c r="O82" s="191">
        <f t="shared" si="17"/>
        <v>11.817257806567302</v>
      </c>
      <c r="P82" s="184">
        <v>1.1845050402731658</v>
      </c>
      <c r="Q82" s="189">
        <v>8</v>
      </c>
      <c r="R82" s="188">
        <v>20.840224624122182</v>
      </c>
      <c r="S82" s="189">
        <v>7.98</v>
      </c>
      <c r="T82" s="186">
        <v>2.2083599999999999</v>
      </c>
      <c r="U82" s="194">
        <v>637728</v>
      </c>
      <c r="V82" s="195">
        <v>-18815.758680195016</v>
      </c>
      <c r="W82" s="195">
        <f t="shared" si="18"/>
        <v>-2.9504363427974019</v>
      </c>
      <c r="X82" s="195">
        <v>35.081315959999998</v>
      </c>
      <c r="Y82" s="195">
        <f t="shared" si="19"/>
        <v>5.5009841123488381E-3</v>
      </c>
      <c r="Z82" s="195">
        <v>-20637.344934374996</v>
      </c>
      <c r="AA82" s="195">
        <f t="shared" si="20"/>
        <v>-3.2360732058769561</v>
      </c>
      <c r="AB82" s="195">
        <v>-1856.6675701399824</v>
      </c>
      <c r="AC82" s="195">
        <f t="shared" si="21"/>
        <v>-0.2911378471919035</v>
      </c>
      <c r="AD82" s="194">
        <v>369402</v>
      </c>
      <c r="AE82" s="195">
        <v>14.891921277231326</v>
      </c>
      <c r="AF82" s="195"/>
      <c r="AG82" s="195"/>
      <c r="AH82" s="194">
        <v>29730.318070610003</v>
      </c>
      <c r="AI82" s="195">
        <f t="shared" si="13"/>
        <v>4.6619119860834095</v>
      </c>
      <c r="AJ82" s="5"/>
      <c r="AK82" s="5"/>
      <c r="AL82" s="5"/>
      <c r="AM82" s="5"/>
      <c r="AN82" s="5"/>
      <c r="AO82" s="5"/>
      <c r="AP82" s="5"/>
      <c r="AQ82" s="5"/>
      <c r="AR82" s="5"/>
      <c r="AS82" s="5"/>
      <c r="AT82" s="5"/>
      <c r="AU82" s="5"/>
      <c r="AV82" s="5"/>
      <c r="AW82" s="5"/>
      <c r="AX82" s="5"/>
      <c r="AY82" s="5"/>
      <c r="AZ82" s="6"/>
      <c r="BA82" s="6"/>
      <c r="BB82" s="6"/>
      <c r="BC82" s="6"/>
      <c r="BD82" s="6"/>
      <c r="BE82" s="6"/>
      <c r="BF82" s="6"/>
      <c r="BG82" s="6"/>
      <c r="BH82" s="6"/>
      <c r="BI82" s="6"/>
      <c r="BJ82" s="6"/>
      <c r="BK82" s="6"/>
      <c r="BL82" s="6"/>
      <c r="BM82" s="6"/>
      <c r="BN82" s="7"/>
      <c r="BO82" s="7"/>
      <c r="BP82" s="7"/>
      <c r="BQ82" s="7"/>
      <c r="BR82" s="23">
        <f>'BCB-DBGG-trimestral'!B24</f>
        <v>2715918.6999188401</v>
      </c>
      <c r="BS82" s="29">
        <f>'BCB-DBGG-trimestral'!C24</f>
        <v>53.606968154160825</v>
      </c>
      <c r="CB82" s="9"/>
      <c r="CC82" s="9"/>
      <c r="CD82" s="9"/>
      <c r="CE82" s="9"/>
    </row>
    <row r="83" spans="2:83">
      <c r="B83" s="30" t="s">
        <v>200</v>
      </c>
      <c r="C83" s="192">
        <v>1354134.1112041268</v>
      </c>
      <c r="D83" s="191"/>
      <c r="E83" s="191"/>
      <c r="F83" s="191"/>
      <c r="G83" s="190">
        <v>0.44055771718345405</v>
      </c>
      <c r="H83" s="193">
        <v>244365.78923632426</v>
      </c>
      <c r="I83" s="191">
        <f t="shared" si="14"/>
        <v>18.045907507567964</v>
      </c>
      <c r="J83" s="192">
        <v>833144.86806776386</v>
      </c>
      <c r="K83" s="191">
        <f t="shared" si="15"/>
        <v>61.526023247942</v>
      </c>
      <c r="L83" s="193">
        <v>201819.30501663426</v>
      </c>
      <c r="M83" s="191">
        <f t="shared" si="16"/>
        <v>14.903937752308147</v>
      </c>
      <c r="N83" s="193">
        <v>169810.29024593302</v>
      </c>
      <c r="O83" s="191">
        <f t="shared" si="17"/>
        <v>12.540138295086138</v>
      </c>
      <c r="P83" s="184">
        <v>0.62084221404120399</v>
      </c>
      <c r="Q83" s="189">
        <v>9</v>
      </c>
      <c r="R83" s="188">
        <v>21.555853355951449</v>
      </c>
      <c r="S83" s="189">
        <v>8.48</v>
      </c>
      <c r="T83" s="186">
        <v>2.2263900000000003</v>
      </c>
      <c r="U83" s="194">
        <v>590079</v>
      </c>
      <c r="V83" s="195">
        <v>-23323.367303384995</v>
      </c>
      <c r="W83" s="195">
        <f t="shared" si="18"/>
        <v>-3.9525838579893531</v>
      </c>
      <c r="X83" s="195">
        <v>139.99165403000001</v>
      </c>
      <c r="Y83" s="195">
        <f t="shared" si="19"/>
        <v>2.3724222354972811E-2</v>
      </c>
      <c r="Z83" s="195">
        <v>-22632.669146805001</v>
      </c>
      <c r="AA83" s="195">
        <f t="shared" si="20"/>
        <v>-3.8355320468623693</v>
      </c>
      <c r="AB83" s="195">
        <v>550.70650254999521</v>
      </c>
      <c r="AC83" s="195">
        <f t="shared" si="21"/>
        <v>9.3327588772011069E-2</v>
      </c>
      <c r="AD83" s="194">
        <v>368654</v>
      </c>
      <c r="AE83" s="195">
        <v>14.956314161546725</v>
      </c>
      <c r="AF83" s="195"/>
      <c r="AG83" s="195"/>
      <c r="AH83" s="194">
        <v>12389.32895431</v>
      </c>
      <c r="AI83" s="195">
        <f t="shared" si="13"/>
        <v>2.0996051298741358</v>
      </c>
      <c r="AJ83" s="5"/>
      <c r="AK83" s="5"/>
      <c r="AL83" s="5"/>
      <c r="AM83" s="5"/>
      <c r="AN83" s="5"/>
      <c r="AO83" s="5"/>
      <c r="AP83" s="5"/>
      <c r="AQ83" s="5"/>
      <c r="AR83" s="5"/>
      <c r="AS83" s="5"/>
      <c r="AT83" s="5"/>
      <c r="AU83" s="5"/>
      <c r="AV83" s="5"/>
      <c r="AW83" s="5"/>
      <c r="AX83" s="5"/>
      <c r="AY83" s="5"/>
      <c r="AZ83" s="6"/>
      <c r="BA83" s="6"/>
      <c r="BB83" s="6"/>
      <c r="BC83" s="6"/>
      <c r="BD83" s="6"/>
      <c r="BE83" s="6"/>
      <c r="BF83" s="6"/>
      <c r="BG83" s="6"/>
      <c r="BH83" s="6"/>
      <c r="BI83" s="6"/>
      <c r="BJ83" s="6"/>
      <c r="BK83" s="6"/>
      <c r="BL83" s="6"/>
      <c r="BM83" s="6"/>
      <c r="BN83" s="7"/>
      <c r="BO83" s="7"/>
      <c r="BP83" s="7"/>
      <c r="BQ83" s="7"/>
      <c r="BR83" s="23">
        <f>'BCB-DBGG-trimestral'!B25</f>
        <v>2747899.5822291393</v>
      </c>
      <c r="BS83" s="29">
        <f>'BCB-DBGG-trimestral'!C25</f>
        <v>52.945642740020951</v>
      </c>
      <c r="CB83" s="9"/>
      <c r="CC83" s="9"/>
      <c r="CD83" s="9"/>
      <c r="CE83" s="9"/>
    </row>
    <row r="84" spans="2:83">
      <c r="B84" s="30" t="s">
        <v>201</v>
      </c>
      <c r="C84" s="192">
        <v>1413291.2600417561</v>
      </c>
      <c r="D84" s="191"/>
      <c r="E84" s="191"/>
      <c r="F84" s="191"/>
      <c r="G84" s="190">
        <v>0.19613270945679773</v>
      </c>
      <c r="H84" s="193">
        <v>301388.06295936578</v>
      </c>
      <c r="I84" s="191">
        <f t="shared" si="14"/>
        <v>21.325261924457184</v>
      </c>
      <c r="J84" s="192">
        <v>873579.59108434373</v>
      </c>
      <c r="K84" s="191">
        <f t="shared" si="15"/>
        <v>61.811716790672968</v>
      </c>
      <c r="L84" s="193">
        <v>201290.23632802689</v>
      </c>
      <c r="M84" s="191">
        <f t="shared" si="16"/>
        <v>14.242657689829604</v>
      </c>
      <c r="N84" s="193">
        <v>174627.20024130162</v>
      </c>
      <c r="O84" s="191">
        <f t="shared" si="17"/>
        <v>12.356065956011234</v>
      </c>
      <c r="P84" s="184">
        <v>2.0433325577228203</v>
      </c>
      <c r="Q84" s="189">
        <v>10</v>
      </c>
      <c r="R84" s="188">
        <v>21.84319100326071</v>
      </c>
      <c r="S84" s="189">
        <v>9.19</v>
      </c>
      <c r="T84" s="186">
        <v>2.3499699999999999</v>
      </c>
      <c r="U84" s="194">
        <v>620306</v>
      </c>
      <c r="V84" s="195">
        <v>-18719.498629160007</v>
      </c>
      <c r="W84" s="195">
        <f t="shared" si="18"/>
        <v>-3.0177845497480287</v>
      </c>
      <c r="X84" s="195">
        <v>49.326629329999996</v>
      </c>
      <c r="Y84" s="195">
        <f t="shared" si="19"/>
        <v>7.9519832679355012E-3</v>
      </c>
      <c r="Z84" s="195">
        <v>-18085.445123240002</v>
      </c>
      <c r="AA84" s="195">
        <f t="shared" si="20"/>
        <v>-2.9155683039080715</v>
      </c>
      <c r="AB84" s="195">
        <v>584.72687659000508</v>
      </c>
      <c r="AC84" s="195">
        <f t="shared" si="21"/>
        <v>9.4264262572021723E-2</v>
      </c>
      <c r="AD84" s="194">
        <v>358808</v>
      </c>
      <c r="AE84" s="195">
        <v>14.535708310326401</v>
      </c>
      <c r="AF84" s="195"/>
      <c r="AG84" s="195"/>
      <c r="AH84" s="194">
        <v>18436.607924239997</v>
      </c>
      <c r="AI84" s="195">
        <f t="shared" si="13"/>
        <v>2.9721795249828307</v>
      </c>
      <c r="AJ84" s="5"/>
      <c r="AK84" s="5"/>
      <c r="AL84" s="5"/>
      <c r="AM84" s="5"/>
      <c r="AN84" s="5"/>
      <c r="AO84" s="5"/>
      <c r="AP84" s="5"/>
      <c r="AQ84" s="5"/>
      <c r="AR84" s="5"/>
      <c r="AS84" s="5"/>
      <c r="AT84" s="5"/>
      <c r="AU84" s="5"/>
      <c r="AV84" s="5"/>
      <c r="AW84" s="5"/>
      <c r="AX84" s="5"/>
      <c r="AY84" s="5"/>
      <c r="AZ84" s="6"/>
      <c r="BA84" s="6"/>
      <c r="BB84" s="6"/>
      <c r="BC84" s="6"/>
      <c r="BD84" s="6"/>
      <c r="BE84" s="6"/>
      <c r="BF84" s="6"/>
      <c r="BG84" s="6"/>
      <c r="BH84" s="6"/>
      <c r="BI84" s="6"/>
      <c r="BJ84" s="6"/>
      <c r="BK84" s="6"/>
      <c r="BL84" s="6"/>
      <c r="BM84" s="6"/>
      <c r="BN84" s="7"/>
      <c r="BO84" s="7"/>
      <c r="BP84" s="7"/>
      <c r="BQ84" s="7"/>
      <c r="BR84" s="23">
        <f>'BCB-DBGG-trimestral'!B26</f>
        <v>2747996.7055274094</v>
      </c>
      <c r="BS84" s="29">
        <f>'BCB-DBGG-trimestral'!C26</f>
        <v>51.541505604950736</v>
      </c>
      <c r="CB84" s="9"/>
      <c r="CC84" s="9"/>
      <c r="CD84" s="9"/>
      <c r="CE84" s="9"/>
    </row>
    <row r="85" spans="2:83">
      <c r="B85" s="30" t="s">
        <v>194</v>
      </c>
      <c r="C85" s="192">
        <v>1385981.0647826705</v>
      </c>
      <c r="D85" s="191"/>
      <c r="E85" s="191"/>
      <c r="F85" s="191"/>
      <c r="G85" s="190">
        <v>0.70082847125547687</v>
      </c>
      <c r="H85" s="193">
        <v>244483.88719770111</v>
      </c>
      <c r="I85" s="191">
        <f t="shared" si="14"/>
        <v>17.639771091392042</v>
      </c>
      <c r="J85" s="192">
        <v>873827.55075860361</v>
      </c>
      <c r="K85" s="191">
        <f t="shared" si="15"/>
        <v>63.04758217570776</v>
      </c>
      <c r="L85" s="193">
        <v>190906.57336300286</v>
      </c>
      <c r="M85" s="191">
        <f t="shared" si="16"/>
        <v>13.774111220843993</v>
      </c>
      <c r="N85" s="193">
        <v>144492.01048102402</v>
      </c>
      <c r="O85" s="191">
        <f t="shared" si="17"/>
        <v>10.425251408732713</v>
      </c>
      <c r="P85" s="184">
        <v>2.1751380592809682</v>
      </c>
      <c r="Q85" s="189">
        <v>10.75</v>
      </c>
      <c r="R85" s="188">
        <v>23.580332236181256</v>
      </c>
      <c r="S85" s="189">
        <v>9.84</v>
      </c>
      <c r="T85" s="186">
        <v>2.3107899999999999</v>
      </c>
      <c r="U85" s="194">
        <v>586387</v>
      </c>
      <c r="V85" s="195">
        <v>-31329.967087569992</v>
      </c>
      <c r="W85" s="195">
        <f t="shared" si="18"/>
        <v>-5.3428822752840688</v>
      </c>
      <c r="X85" s="195">
        <v>84.216657100000006</v>
      </c>
      <c r="Y85" s="195">
        <f t="shared" si="19"/>
        <v>1.4361958416540612E-2</v>
      </c>
      <c r="Z85" s="195">
        <v>-30202.803753540004</v>
      </c>
      <c r="AA85" s="195">
        <f t="shared" si="20"/>
        <v>-5.1506605285485527</v>
      </c>
      <c r="AB85" s="195">
        <v>1042.9466769299904</v>
      </c>
      <c r="AC85" s="195">
        <f t="shared" si="21"/>
        <v>0.17785978831897542</v>
      </c>
      <c r="AD85" s="194">
        <v>363914</v>
      </c>
      <c r="AE85" s="195">
        <v>14.948202916409942</v>
      </c>
      <c r="AF85" s="195"/>
      <c r="AG85" s="195"/>
      <c r="AH85" s="194">
        <v>21160.803390429999</v>
      </c>
      <c r="AI85" s="195">
        <f t="shared" si="13"/>
        <v>3.6086753953327748</v>
      </c>
      <c r="AJ85" s="5"/>
      <c r="AK85" s="5"/>
      <c r="AL85" s="5"/>
      <c r="AM85" s="5"/>
      <c r="AN85" s="5"/>
      <c r="AO85" s="5"/>
      <c r="AP85" s="5"/>
      <c r="AQ85" s="5"/>
      <c r="AR85" s="5"/>
      <c r="AS85" s="5"/>
      <c r="AT85" s="5"/>
      <c r="AU85" s="5"/>
      <c r="AV85" s="5"/>
      <c r="AW85" s="5"/>
      <c r="AX85" s="5"/>
      <c r="AY85" s="5"/>
      <c r="AZ85" s="6"/>
      <c r="BA85" s="6"/>
      <c r="BB85" s="6"/>
      <c r="BC85" s="6"/>
      <c r="BD85" s="6"/>
      <c r="BE85" s="6"/>
      <c r="BF85" s="6"/>
      <c r="BG85" s="6"/>
      <c r="BH85" s="6"/>
      <c r="BI85" s="6"/>
      <c r="BJ85" s="6"/>
      <c r="BK85" s="6"/>
      <c r="BL85" s="6"/>
      <c r="BM85" s="6"/>
      <c r="BN85" s="7"/>
      <c r="BO85" s="7"/>
      <c r="BP85" s="7"/>
      <c r="BQ85" s="7"/>
      <c r="BR85" s="23">
        <f>'BCB-DBGG-trimestral'!B27</f>
        <v>2835759.1596714798</v>
      </c>
      <c r="BS85" s="29">
        <f>'BCB-DBGG-trimestral'!C27</f>
        <v>51.785357791979017</v>
      </c>
      <c r="CB85" s="9"/>
      <c r="CC85" s="9"/>
      <c r="CD85" s="9"/>
      <c r="CE85" s="9"/>
    </row>
    <row r="86" spans="2:83">
      <c r="B86" s="30" t="s">
        <v>195</v>
      </c>
      <c r="C86" s="192">
        <v>1422321.7881233706</v>
      </c>
      <c r="D86" s="191"/>
      <c r="E86" s="191"/>
      <c r="F86" s="191"/>
      <c r="G86" s="190">
        <v>-1.2811283113549621</v>
      </c>
      <c r="H86" s="193">
        <v>269157.59926469595</v>
      </c>
      <c r="I86" s="191">
        <f t="shared" si="14"/>
        <v>18.923818893319908</v>
      </c>
      <c r="J86" s="192">
        <v>888391.41381853539</v>
      </c>
      <c r="K86" s="191">
        <f t="shared" si="15"/>
        <v>62.460648584360811</v>
      </c>
      <c r="L86" s="193">
        <v>189516.63529464911</v>
      </c>
      <c r="M86" s="191">
        <f t="shared" si="16"/>
        <v>13.324455610336939</v>
      </c>
      <c r="N86" s="193">
        <v>162059.15099347636</v>
      </c>
      <c r="O86" s="191">
        <f t="shared" si="17"/>
        <v>11.393986392298698</v>
      </c>
      <c r="P86" s="184">
        <v>1.5375617564218942</v>
      </c>
      <c r="Q86" s="189">
        <v>11</v>
      </c>
      <c r="R86" s="188">
        <v>23.434708058214483</v>
      </c>
      <c r="S86" s="189">
        <v>9.83</v>
      </c>
      <c r="T86" s="186">
        <v>2.2226599999999999</v>
      </c>
      <c r="U86" s="194">
        <v>637787</v>
      </c>
      <c r="V86" s="195">
        <v>-21844.01951206999</v>
      </c>
      <c r="W86" s="195">
        <f t="shared" si="18"/>
        <v>-3.4249709561452319</v>
      </c>
      <c r="X86" s="195">
        <v>16.307668910000004</v>
      </c>
      <c r="Y86" s="195">
        <f t="shared" si="19"/>
        <v>2.5569145984474448E-3</v>
      </c>
      <c r="Z86" s="195">
        <v>-19858.992283919997</v>
      </c>
      <c r="AA86" s="195">
        <f t="shared" si="20"/>
        <v>-3.1137342535862285</v>
      </c>
      <c r="AB86" s="195">
        <v>1968.7195592399901</v>
      </c>
      <c r="AC86" s="195">
        <f t="shared" si="21"/>
        <v>0.30867978796055584</v>
      </c>
      <c r="AD86" s="194">
        <v>373516</v>
      </c>
      <c r="AE86" s="195">
        <v>15.342244735083439</v>
      </c>
      <c r="AF86" s="195"/>
      <c r="AG86" s="195"/>
      <c r="AH86" s="194">
        <v>20646.087185790002</v>
      </c>
      <c r="AI86" s="195">
        <f t="shared" si="13"/>
        <v>3.2371445617094734</v>
      </c>
      <c r="AJ86" s="5"/>
      <c r="AK86" s="5"/>
      <c r="AL86" s="5"/>
      <c r="AM86" s="5"/>
      <c r="AN86" s="5"/>
      <c r="AO86" s="5"/>
      <c r="AP86" s="5"/>
      <c r="AQ86" s="5"/>
      <c r="AR86" s="5"/>
      <c r="AS86" s="5"/>
      <c r="AT86" s="5"/>
      <c r="AU86" s="5"/>
      <c r="AV86" s="5"/>
      <c r="AW86" s="5"/>
      <c r="AX86" s="5"/>
      <c r="AY86" s="5"/>
      <c r="AZ86" s="6"/>
      <c r="BA86" s="6"/>
      <c r="BB86" s="6"/>
      <c r="BC86" s="6"/>
      <c r="BD86" s="6"/>
      <c r="BE86" s="6"/>
      <c r="BF86" s="6"/>
      <c r="BG86" s="6"/>
      <c r="BH86" s="6"/>
      <c r="BI86" s="6"/>
      <c r="BJ86" s="6"/>
      <c r="BK86" s="6"/>
      <c r="BL86" s="6"/>
      <c r="BM86" s="6"/>
      <c r="BN86" s="7"/>
      <c r="BO86" s="7"/>
      <c r="BP86" s="7"/>
      <c r="BQ86" s="7"/>
      <c r="BR86" s="23">
        <f>'BCB-DBGG-trimestral'!B28</f>
        <v>2941138.57296413</v>
      </c>
      <c r="BS86" s="29">
        <f>'BCB-DBGG-trimestral'!C28</f>
        <v>52.748958606415641</v>
      </c>
      <c r="CB86" s="9"/>
      <c r="CC86" s="9"/>
      <c r="CD86" s="9"/>
      <c r="CE86" s="9"/>
    </row>
    <row r="87" spans="2:83">
      <c r="B87" s="30" t="s">
        <v>196</v>
      </c>
      <c r="C87" s="192">
        <v>1462125.4533263859</v>
      </c>
      <c r="D87" s="191"/>
      <c r="E87" s="191"/>
      <c r="F87" s="191"/>
      <c r="G87" s="190">
        <v>-9.3806166786980505E-2</v>
      </c>
      <c r="H87" s="193">
        <v>272878.30806115502</v>
      </c>
      <c r="I87" s="191">
        <f t="shared" si="14"/>
        <v>18.663125482177158</v>
      </c>
      <c r="J87" s="192">
        <v>912055.38997050922</v>
      </c>
      <c r="K87" s="191">
        <f t="shared" si="15"/>
        <v>62.378736919978493</v>
      </c>
      <c r="L87" s="193">
        <v>204432.91650384021</v>
      </c>
      <c r="M87" s="191">
        <f t="shared" si="16"/>
        <v>13.981899845786028</v>
      </c>
      <c r="N87" s="193">
        <v>171655.09346966102</v>
      </c>
      <c r="O87" s="191">
        <f t="shared" si="17"/>
        <v>11.740107052998752</v>
      </c>
      <c r="P87" s="184">
        <v>0.83166595929586151</v>
      </c>
      <c r="Q87" s="189">
        <v>11</v>
      </c>
      <c r="R87" s="188">
        <v>23.289241195817478</v>
      </c>
      <c r="S87" s="189">
        <v>9.92</v>
      </c>
      <c r="T87" s="186">
        <v>2.4010100000000003</v>
      </c>
      <c r="U87" s="194">
        <v>641304</v>
      </c>
      <c r="V87" s="195">
        <v>-26564.271967199988</v>
      </c>
      <c r="W87" s="195">
        <f t="shared" si="18"/>
        <v>-4.1422277059241779</v>
      </c>
      <c r="X87" s="195">
        <v>58.665845310000009</v>
      </c>
      <c r="Y87" s="195">
        <f t="shared" si="19"/>
        <v>9.1478994844878571E-3</v>
      </c>
      <c r="Z87" s="195">
        <v>-27788.891962989997</v>
      </c>
      <c r="AA87" s="195">
        <f t="shared" si="20"/>
        <v>-4.33318550375329</v>
      </c>
      <c r="AB87" s="195">
        <v>-1283.2858411000097</v>
      </c>
      <c r="AC87" s="195">
        <f t="shared" si="21"/>
        <v>-0.20010569731360009</v>
      </c>
      <c r="AD87" s="194">
        <v>375513</v>
      </c>
      <c r="AE87" s="195">
        <v>15.106421153245817</v>
      </c>
      <c r="AF87" s="195"/>
      <c r="AG87" s="195"/>
      <c r="AH87" s="194">
        <v>25527.093206469999</v>
      </c>
      <c r="AI87" s="195">
        <f t="shared" si="13"/>
        <v>3.9804980487366368</v>
      </c>
      <c r="AJ87" s="5"/>
      <c r="AK87" s="5"/>
      <c r="AL87" s="5"/>
      <c r="AM87" s="5"/>
      <c r="AN87" s="5"/>
      <c r="AO87" s="5"/>
      <c r="AP87" s="5"/>
      <c r="AQ87" s="5"/>
      <c r="AR87" s="5"/>
      <c r="AS87" s="5"/>
      <c r="AT87" s="5"/>
      <c r="AU87" s="5"/>
      <c r="AV87" s="5"/>
      <c r="AW87" s="5"/>
      <c r="AX87" s="5"/>
      <c r="AY87" s="5"/>
      <c r="AZ87" s="6"/>
      <c r="BA87" s="6"/>
      <c r="BB87" s="6"/>
      <c r="BC87" s="6"/>
      <c r="BD87" s="6"/>
      <c r="BE87" s="6"/>
      <c r="BF87" s="6"/>
      <c r="BG87" s="6"/>
      <c r="BH87" s="6"/>
      <c r="BI87" s="6"/>
      <c r="BJ87" s="6"/>
      <c r="BK87" s="6"/>
      <c r="BL87" s="6"/>
      <c r="BM87" s="6"/>
      <c r="BN87" s="7"/>
      <c r="BO87" s="7"/>
      <c r="BP87" s="7"/>
      <c r="BQ87" s="7"/>
      <c r="BR87" s="23">
        <f>'BCB-DBGG-trimestral'!B29</f>
        <v>3132133.1161023104</v>
      </c>
      <c r="BS87" s="29">
        <f>'BCB-DBGG-trimestral'!C29</f>
        <v>55.10710160099439</v>
      </c>
      <c r="CB87" s="9"/>
      <c r="CC87" s="9"/>
      <c r="CD87" s="9"/>
      <c r="CE87" s="9"/>
    </row>
    <row r="88" spans="2:83">
      <c r="B88" s="30" t="s">
        <v>197</v>
      </c>
      <c r="C88" s="192">
        <v>1508524.693776167</v>
      </c>
      <c r="D88" s="191"/>
      <c r="E88" s="191"/>
      <c r="F88" s="191"/>
      <c r="G88" s="190">
        <v>0.43580650447789804</v>
      </c>
      <c r="H88" s="193">
        <v>320354.20540606912</v>
      </c>
      <c r="I88" s="191">
        <f t="shared" si="14"/>
        <v>21.236258625913013</v>
      </c>
      <c r="J88" s="192">
        <v>964129.64572938671</v>
      </c>
      <c r="K88" s="191">
        <f t="shared" si="15"/>
        <v>63.912089056756471</v>
      </c>
      <c r="L88" s="193">
        <v>205326.87475703738</v>
      </c>
      <c r="M88" s="191">
        <f t="shared" si="16"/>
        <v>13.611104651065361</v>
      </c>
      <c r="N88" s="193">
        <v>158168.74494884632</v>
      </c>
      <c r="O88" s="191">
        <f t="shared" si="17"/>
        <v>10.48499541316194</v>
      </c>
      <c r="P88" s="184">
        <v>1.7192651907677856</v>
      </c>
      <c r="Q88" s="189">
        <v>11.75</v>
      </c>
      <c r="R88" s="188">
        <v>23.434708058214483</v>
      </c>
      <c r="S88" s="189">
        <v>10.64</v>
      </c>
      <c r="T88" s="186">
        <v>2.6726100000000002</v>
      </c>
      <c r="U88" s="194">
        <v>589368</v>
      </c>
      <c r="V88" s="195">
        <v>-30754.982783015002</v>
      </c>
      <c r="W88" s="195">
        <f t="shared" si="18"/>
        <v>-5.2182987171028969</v>
      </c>
      <c r="X88" s="195">
        <v>72.288386079999995</v>
      </c>
      <c r="Y88" s="195">
        <f t="shared" si="19"/>
        <v>1.2265407365177613E-2</v>
      </c>
      <c r="Z88" s="195">
        <v>-31081.397712934995</v>
      </c>
      <c r="AA88" s="195">
        <f t="shared" si="20"/>
        <v>-5.273682607969044</v>
      </c>
      <c r="AB88" s="195">
        <v>-398.7033159999944</v>
      </c>
      <c r="AC88" s="195">
        <f t="shared" si="21"/>
        <v>-6.7649298231324817E-2</v>
      </c>
      <c r="AD88" s="194">
        <v>363551</v>
      </c>
      <c r="AE88" s="195">
        <v>14.809523693135946</v>
      </c>
      <c r="AF88" s="195"/>
      <c r="AG88" s="195"/>
      <c r="AH88" s="194">
        <v>20379.999434550002</v>
      </c>
      <c r="AI88" s="195">
        <f t="shared" si="13"/>
        <v>3.4579412921213915</v>
      </c>
      <c r="AJ88" s="5"/>
      <c r="AK88" s="5"/>
      <c r="AL88" s="5"/>
      <c r="AM88" s="5"/>
      <c r="AN88" s="5"/>
      <c r="AO88" s="5"/>
      <c r="AP88" s="5"/>
      <c r="AQ88" s="5"/>
      <c r="AR88" s="5"/>
      <c r="AS88" s="5"/>
      <c r="AT88" s="5"/>
      <c r="AU88" s="5"/>
      <c r="AV88" s="5"/>
      <c r="AW88" s="5"/>
      <c r="AX88" s="5"/>
      <c r="AY88" s="5"/>
      <c r="AZ88" s="6"/>
      <c r="BA88" s="6"/>
      <c r="BB88" s="6"/>
      <c r="BC88" s="6"/>
      <c r="BD88" s="6"/>
      <c r="BE88" s="6"/>
      <c r="BF88" s="6"/>
      <c r="BG88" s="6"/>
      <c r="BH88" s="6"/>
      <c r="BI88" s="6"/>
      <c r="BJ88" s="6"/>
      <c r="BK88" s="6"/>
      <c r="BL88" s="6"/>
      <c r="BM88" s="6"/>
      <c r="BN88" s="7"/>
      <c r="BO88" s="7"/>
      <c r="BP88" s="7"/>
      <c r="BQ88" s="7"/>
      <c r="BR88" s="23">
        <f>'BCB-DBGG-trimestral'!B30</f>
        <v>3252448.5492518502</v>
      </c>
      <c r="BS88" s="29">
        <f>'BCB-DBGG-trimestral'!C30</f>
        <v>56.28093097914131</v>
      </c>
      <c r="CB88" s="9"/>
      <c r="CC88" s="9"/>
      <c r="CD88" s="9"/>
      <c r="CE88" s="9"/>
    </row>
    <row r="89" spans="2:83">
      <c r="B89" s="30" t="s">
        <v>190</v>
      </c>
      <c r="C89" s="192">
        <v>1456658.6555714994</v>
      </c>
      <c r="D89" s="190"/>
      <c r="E89" s="190"/>
      <c r="F89" s="191"/>
      <c r="G89" s="190">
        <v>-0.8389112603317983</v>
      </c>
      <c r="H89" s="193">
        <v>266315.82153614896</v>
      </c>
      <c r="I89" s="191">
        <f t="shared" si="14"/>
        <v>18.282651224947667</v>
      </c>
      <c r="J89" s="192">
        <v>936567.0299187355</v>
      </c>
      <c r="K89" s="191">
        <f t="shared" si="15"/>
        <v>64.295573045648553</v>
      </c>
      <c r="L89" s="193">
        <v>201721.45490564787</v>
      </c>
      <c r="M89" s="191">
        <f t="shared" si="16"/>
        <v>13.848230958851873</v>
      </c>
      <c r="N89" s="193">
        <v>153346.12298302687</v>
      </c>
      <c r="O89" s="191">
        <f t="shared" si="17"/>
        <v>10.527251693215916</v>
      </c>
      <c r="P89" s="185">
        <v>3.8277181971792089</v>
      </c>
      <c r="Q89" s="18">
        <v>12.75</v>
      </c>
      <c r="R89" s="18">
        <v>25.487832818461076</v>
      </c>
      <c r="S89" s="18">
        <v>11.88</v>
      </c>
      <c r="T89" s="187">
        <v>3.2102400000000002</v>
      </c>
      <c r="U89" s="194">
        <v>503700</v>
      </c>
      <c r="V89" s="194">
        <v>-27518.565073220001</v>
      </c>
      <c r="W89" s="195">
        <f t="shared" si="18"/>
        <v>-5.4632847078062339</v>
      </c>
      <c r="X89" s="194">
        <v>78.375983600000012</v>
      </c>
      <c r="Y89" s="195">
        <f t="shared" si="19"/>
        <v>1.5560052332737743E-2</v>
      </c>
      <c r="Z89" s="194">
        <v>-28074.266876100002</v>
      </c>
      <c r="AA89" s="195">
        <f t="shared" si="20"/>
        <v>-5.573608671054199</v>
      </c>
      <c r="AB89" s="194">
        <v>-634.07778648000215</v>
      </c>
      <c r="AC89" s="195">
        <f t="shared" si="21"/>
        <v>-0.12588401558070322</v>
      </c>
      <c r="AD89" s="194">
        <v>362744</v>
      </c>
      <c r="AE89" s="194">
        <v>15.291723699802585</v>
      </c>
      <c r="AF89" s="194"/>
      <c r="AG89" s="194"/>
      <c r="AH89" s="194">
        <v>10443.01284829</v>
      </c>
      <c r="AI89" s="195">
        <f t="shared" si="13"/>
        <v>2.0732604423843561</v>
      </c>
      <c r="AJ89" s="20"/>
      <c r="AK89" s="26"/>
      <c r="AL89" s="5"/>
      <c r="AM89" s="26"/>
      <c r="AN89" s="26"/>
      <c r="AO89" s="26"/>
      <c r="AP89" s="26"/>
      <c r="AQ89" s="26"/>
      <c r="AR89" s="25"/>
      <c r="AS89" s="25"/>
      <c r="AT89" s="25"/>
      <c r="AU89" s="26"/>
      <c r="AV89" s="26"/>
      <c r="AW89" s="26"/>
      <c r="AX89" s="25"/>
      <c r="AY89" s="26"/>
      <c r="AZ89" s="22"/>
      <c r="BA89" s="24"/>
      <c r="BB89" s="21"/>
      <c r="BC89" s="24"/>
      <c r="BD89" s="22"/>
      <c r="BE89" s="24"/>
      <c r="BF89" s="24"/>
      <c r="BG89" s="24"/>
      <c r="BH89" s="22"/>
      <c r="BI89" s="24"/>
      <c r="BJ89" s="24"/>
      <c r="BK89" s="24"/>
      <c r="BL89" s="21"/>
      <c r="BM89" s="24"/>
      <c r="BN89" s="27"/>
      <c r="BO89" s="27"/>
      <c r="BP89" s="27"/>
      <c r="BQ89" s="27"/>
      <c r="BR89" s="23">
        <f>'BCB-DBGG-trimestral'!B31</f>
        <v>3480229.2884407602</v>
      </c>
      <c r="BS89" s="29">
        <f>'BCB-DBGG-trimestral'!C31</f>
        <v>59.494855861767107</v>
      </c>
      <c r="CB89" s="9"/>
      <c r="CC89" s="9"/>
      <c r="CD89" s="9"/>
      <c r="CE89" s="9"/>
    </row>
    <row r="90" spans="2:83">
      <c r="B90" s="30" t="s">
        <v>191</v>
      </c>
      <c r="C90" s="192">
        <v>1479969.8057911948</v>
      </c>
      <c r="D90" s="190"/>
      <c r="E90" s="190"/>
      <c r="F90" s="191"/>
      <c r="G90" s="190">
        <v>-2.2479217035008658</v>
      </c>
      <c r="H90" s="193">
        <v>290179.33236104419</v>
      </c>
      <c r="I90" s="191">
        <f t="shared" si="14"/>
        <v>19.607111660356729</v>
      </c>
      <c r="J90" s="192">
        <v>938595.38168192015</v>
      </c>
      <c r="K90" s="191">
        <f t="shared" si="15"/>
        <v>63.419900731025059</v>
      </c>
      <c r="L90" s="193">
        <v>204928.46370465969</v>
      </c>
      <c r="M90" s="191">
        <f t="shared" si="16"/>
        <v>13.846800313274265</v>
      </c>
      <c r="N90" s="193">
        <v>189848.00033468459</v>
      </c>
      <c r="O90" s="191">
        <f t="shared" si="17"/>
        <v>12.827829297043763</v>
      </c>
      <c r="P90" s="185">
        <v>2.2568002922714214</v>
      </c>
      <c r="Q90" s="18">
        <v>13.75</v>
      </c>
      <c r="R90" s="18">
        <v>27.272519000317018</v>
      </c>
      <c r="S90" s="18">
        <v>12.59</v>
      </c>
      <c r="T90" s="187">
        <v>3.0960200000000002</v>
      </c>
      <c r="U90" s="194">
        <v>474094</v>
      </c>
      <c r="V90" s="194">
        <v>-14502.930004034992</v>
      </c>
      <c r="W90" s="195">
        <f t="shared" si="18"/>
        <v>-3.0590832206345135</v>
      </c>
      <c r="X90" s="194">
        <v>64.333099019999992</v>
      </c>
      <c r="Y90" s="195">
        <f t="shared" si="19"/>
        <v>1.3569692723383969E-2</v>
      </c>
      <c r="Z90" s="194">
        <v>-15844.365274084999</v>
      </c>
      <c r="AA90" s="195">
        <f t="shared" si="20"/>
        <v>-3.3420303302899841</v>
      </c>
      <c r="AB90" s="194">
        <v>-1405.7683690700057</v>
      </c>
      <c r="AC90" s="195">
        <f t="shared" si="21"/>
        <v>-0.29651680237885436</v>
      </c>
      <c r="AD90" s="194">
        <v>368668</v>
      </c>
      <c r="AE90" s="194">
        <v>16.693397136292791</v>
      </c>
      <c r="AF90" s="194"/>
      <c r="AG90" s="194"/>
      <c r="AH90" s="194">
        <v>14869.798965400001</v>
      </c>
      <c r="AI90" s="195">
        <f t="shared" si="13"/>
        <v>3.1364663896611225</v>
      </c>
      <c r="AJ90" s="20"/>
      <c r="AK90" s="26"/>
      <c r="AL90" s="5"/>
      <c r="AM90" s="26"/>
      <c r="AN90" s="26"/>
      <c r="AO90" s="26"/>
      <c r="AP90" s="26"/>
      <c r="AQ90" s="26"/>
      <c r="AR90" s="25"/>
      <c r="AS90" s="25"/>
      <c r="AT90" s="25"/>
      <c r="AU90" s="26"/>
      <c r="AV90" s="26"/>
      <c r="AW90" s="26"/>
      <c r="AX90" s="25"/>
      <c r="AY90" s="26"/>
      <c r="AZ90" s="22"/>
      <c r="BA90" s="24"/>
      <c r="BB90" s="21"/>
      <c r="BC90" s="24"/>
      <c r="BD90" s="22"/>
      <c r="BE90" s="24"/>
      <c r="BF90" s="24"/>
      <c r="BG90" s="24"/>
      <c r="BH90" s="22"/>
      <c r="BI90" s="24"/>
      <c r="BJ90" s="24"/>
      <c r="BK90" s="24"/>
      <c r="BL90" s="21"/>
      <c r="BM90" s="24"/>
      <c r="BN90" s="27"/>
      <c r="BO90" s="27"/>
      <c r="BP90" s="27"/>
      <c r="BQ90" s="27"/>
      <c r="BR90" s="23">
        <f>'BCB-DBGG-trimestral'!B32</f>
        <v>3588440.4034614898</v>
      </c>
      <c r="BS90" s="29">
        <f>'BCB-DBGG-trimestral'!C32</f>
        <v>60.746083625024596</v>
      </c>
      <c r="CB90" s="9"/>
      <c r="CC90" s="9"/>
      <c r="CD90" s="9"/>
      <c r="CE90" s="9"/>
    </row>
    <row r="91" spans="2:83">
      <c r="B91" s="30" t="s">
        <v>192</v>
      </c>
      <c r="C91" s="192">
        <v>1508228.2502403329</v>
      </c>
      <c r="D91" s="190"/>
      <c r="E91" s="190"/>
      <c r="F91" s="191"/>
      <c r="G91" s="190">
        <v>-1.5623427893209363</v>
      </c>
      <c r="H91" s="193">
        <v>287921.83660120761</v>
      </c>
      <c r="I91" s="191">
        <f t="shared" si="14"/>
        <v>19.090070521840968</v>
      </c>
      <c r="J91" s="192">
        <v>959600.21839727659</v>
      </c>
      <c r="K91" s="191">
        <f t="shared" si="15"/>
        <v>63.62433658462281</v>
      </c>
      <c r="L91" s="193">
        <v>219744.65311775211</v>
      </c>
      <c r="M91" s="191">
        <f t="shared" si="16"/>
        <v>14.569721332479768</v>
      </c>
      <c r="N91" s="193">
        <v>212638.42778890251</v>
      </c>
      <c r="O91" s="191">
        <f t="shared" si="17"/>
        <v>14.098557546247992</v>
      </c>
      <c r="P91" s="185">
        <v>1.38572147763891</v>
      </c>
      <c r="Q91" s="18">
        <v>14.25</v>
      </c>
      <c r="R91" s="18">
        <v>29.080444308427733</v>
      </c>
      <c r="S91" s="18">
        <v>14.16</v>
      </c>
      <c r="T91" s="187">
        <v>4.0165700000000006</v>
      </c>
      <c r="U91" s="194">
        <v>420769</v>
      </c>
      <c r="V91" s="194">
        <v>-12575.206704785003</v>
      </c>
      <c r="W91" s="195">
        <f t="shared" si="18"/>
        <v>-2.9886248047705517</v>
      </c>
      <c r="X91" s="194">
        <v>150.67959517</v>
      </c>
      <c r="Y91" s="195">
        <f t="shared" si="19"/>
        <v>3.5810526718936045E-2</v>
      </c>
      <c r="Z91" s="194">
        <v>-13915.579719755005</v>
      </c>
      <c r="AA91" s="195">
        <f t="shared" si="20"/>
        <v>-3.307177981209406</v>
      </c>
      <c r="AB91" s="194">
        <v>-1491.0526101400026</v>
      </c>
      <c r="AC91" s="195">
        <f t="shared" si="21"/>
        <v>-0.35436370315779026</v>
      </c>
      <c r="AD91" s="194">
        <v>361370</v>
      </c>
      <c r="AE91" s="194">
        <v>18.178196325727601</v>
      </c>
      <c r="AF91" s="194"/>
      <c r="AG91" s="194"/>
      <c r="AH91" s="194">
        <v>16522.853070590001</v>
      </c>
      <c r="AI91" s="195">
        <f t="shared" si="13"/>
        <v>3.9268228102807008</v>
      </c>
      <c r="AJ91" s="20"/>
      <c r="AK91" s="26"/>
      <c r="AL91" s="5"/>
      <c r="AM91" s="26"/>
      <c r="AN91" s="26"/>
      <c r="AO91" s="26"/>
      <c r="AP91" s="26"/>
      <c r="AQ91" s="26"/>
      <c r="AR91" s="25"/>
      <c r="AS91" s="25"/>
      <c r="AT91" s="25"/>
      <c r="AU91" s="26"/>
      <c r="AV91" s="26"/>
      <c r="AW91" s="26"/>
      <c r="AX91" s="25"/>
      <c r="AY91" s="26"/>
      <c r="AZ91" s="22"/>
      <c r="BA91" s="24"/>
      <c r="BB91" s="21"/>
      <c r="BC91" s="24"/>
      <c r="BD91" s="22"/>
      <c r="BE91" s="24"/>
      <c r="BF91" s="24"/>
      <c r="BG91" s="24"/>
      <c r="BH91" s="22"/>
      <c r="BI91" s="24"/>
      <c r="BJ91" s="24"/>
      <c r="BK91" s="24"/>
      <c r="BL91" s="21"/>
      <c r="BM91" s="24"/>
      <c r="BN91" s="27"/>
      <c r="BO91" s="27"/>
      <c r="BP91" s="27"/>
      <c r="BQ91" s="27"/>
      <c r="BR91" s="23">
        <f>'BCB-DBGG-trimestral'!B33</f>
        <v>3789051.7911953302</v>
      </c>
      <c r="BS91" s="29">
        <f>'BCB-DBGG-trimestral'!C33</f>
        <v>63.645372825798098</v>
      </c>
      <c r="CB91" s="9"/>
      <c r="CC91" s="9"/>
      <c r="CD91" s="9"/>
      <c r="CE91" s="9"/>
    </row>
    <row r="92" spans="2:83">
      <c r="B92" s="30" t="s">
        <v>193</v>
      </c>
      <c r="C92" s="192">
        <v>1550930.2881232779</v>
      </c>
      <c r="D92" s="190"/>
      <c r="E92" s="190"/>
      <c r="F92" s="191"/>
      <c r="G92" s="190">
        <v>-0.95974202773101425</v>
      </c>
      <c r="H92" s="193">
        <v>341359.00939390867</v>
      </c>
      <c r="I92" s="191">
        <f t="shared" si="14"/>
        <v>22.009951833939247</v>
      </c>
      <c r="J92" s="192">
        <v>1000430.3695394968</v>
      </c>
      <c r="K92" s="191">
        <f t="shared" si="15"/>
        <v>64.505179710564548</v>
      </c>
      <c r="L92" s="193">
        <v>216219.42815251075</v>
      </c>
      <c r="M92" s="191">
        <f t="shared" si="16"/>
        <v>13.941273170578782</v>
      </c>
      <c r="N92" s="193">
        <v>217635.44891252276</v>
      </c>
      <c r="O92" s="191">
        <f t="shared" si="17"/>
        <v>14.032574550844265</v>
      </c>
      <c r="P92" s="185">
        <v>2.815712154357314</v>
      </c>
      <c r="Q92" s="18">
        <v>14.25</v>
      </c>
      <c r="R92" s="18">
        <v>29.384043803414283</v>
      </c>
      <c r="S92" s="18">
        <v>13.17</v>
      </c>
      <c r="T92" s="187">
        <v>3.9252200000000004</v>
      </c>
      <c r="U92" s="194">
        <v>397605</v>
      </c>
      <c r="V92" s="194">
        <v>-8812.1823421750014</v>
      </c>
      <c r="W92" s="195">
        <f t="shared" si="18"/>
        <v>-2.2163157762540719</v>
      </c>
      <c r="X92" s="194">
        <v>167.76917838</v>
      </c>
      <c r="Y92" s="195">
        <f t="shared" si="19"/>
        <v>4.2194936778964048E-2</v>
      </c>
      <c r="Z92" s="194">
        <v>-7595.3128758049916</v>
      </c>
      <c r="AA92" s="195">
        <f t="shared" si="20"/>
        <v>-1.910265936244512</v>
      </c>
      <c r="AB92" s="194">
        <v>1049.1002879900088</v>
      </c>
      <c r="AC92" s="195">
        <f t="shared" si="21"/>
        <v>0.26385490323059541</v>
      </c>
      <c r="AD92" s="194">
        <v>356464</v>
      </c>
      <c r="AE92" s="194">
        <v>19.845805069458983</v>
      </c>
      <c r="AF92" s="194"/>
      <c r="AG92" s="194"/>
      <c r="AH92" s="194">
        <v>22902.488610159999</v>
      </c>
      <c r="AI92" s="195">
        <f t="shared" si="13"/>
        <v>5.760110816051105</v>
      </c>
      <c r="AJ92" s="20"/>
      <c r="AK92" s="26"/>
      <c r="AL92" s="5"/>
      <c r="AM92" s="26"/>
      <c r="AN92" s="26"/>
      <c r="AO92" s="26"/>
      <c r="AP92" s="26"/>
      <c r="AQ92" s="26"/>
      <c r="AR92" s="25"/>
      <c r="AS92" s="25"/>
      <c r="AT92" s="25"/>
      <c r="AU92" s="26"/>
      <c r="AV92" s="26"/>
      <c r="AW92" s="26"/>
      <c r="AX92" s="25"/>
      <c r="AY92" s="26"/>
      <c r="AZ92" s="22"/>
      <c r="BA92" s="24"/>
      <c r="BB92" s="21"/>
      <c r="BC92" s="24"/>
      <c r="BD92" s="22"/>
      <c r="BE92" s="24"/>
      <c r="BF92" s="24"/>
      <c r="BG92" s="24"/>
      <c r="BH92" s="22"/>
      <c r="BI92" s="24"/>
      <c r="BJ92" s="24"/>
      <c r="BK92" s="24"/>
      <c r="BL92" s="21"/>
      <c r="BM92" s="24"/>
      <c r="BN92" s="27"/>
      <c r="BO92" s="27"/>
      <c r="BP92" s="27"/>
      <c r="BQ92" s="27"/>
      <c r="BR92" s="23">
        <f>'BCB-DBGG-trimestral'!B34</f>
        <v>3927523.0628005494</v>
      </c>
      <c r="BS92" s="29">
        <f>'BCB-DBGG-trimestral'!C34</f>
        <v>65.504712942268227</v>
      </c>
      <c r="CB92" s="9"/>
      <c r="CC92" s="9"/>
      <c r="CD92" s="9"/>
      <c r="CE92" s="9"/>
    </row>
    <row r="93" spans="2:83">
      <c r="B93" s="30" t="s">
        <v>186</v>
      </c>
      <c r="C93" s="192">
        <v>1500298.8828484721</v>
      </c>
      <c r="D93" s="190"/>
      <c r="E93" s="190"/>
      <c r="F93" s="191"/>
      <c r="G93" s="190">
        <v>-1.3739790912984273</v>
      </c>
      <c r="H93" s="193">
        <v>284747.9388653778</v>
      </c>
      <c r="I93" s="191">
        <f t="shared" si="14"/>
        <v>18.979414176777528</v>
      </c>
      <c r="J93" s="192">
        <v>974593.28170845273</v>
      </c>
      <c r="K93" s="191">
        <f t="shared" si="15"/>
        <v>64.959941838927918</v>
      </c>
      <c r="L93" s="193">
        <v>195819.06456752928</v>
      </c>
      <c r="M93" s="191">
        <f t="shared" si="16"/>
        <v>13.052003624487583</v>
      </c>
      <c r="N93" s="193">
        <v>195363.2414818281</v>
      </c>
      <c r="O93" s="191">
        <f t="shared" si="17"/>
        <v>13.021621472576909</v>
      </c>
      <c r="P93" s="185">
        <v>2.6206442222306237</v>
      </c>
      <c r="Q93" s="18">
        <v>14.25</v>
      </c>
      <c r="R93" s="18">
        <v>31.681988968902775</v>
      </c>
      <c r="S93" s="18">
        <v>12.59</v>
      </c>
      <c r="T93" s="187">
        <v>3.6317200000000001</v>
      </c>
      <c r="U93" s="194">
        <v>380542</v>
      </c>
      <c r="V93" s="194">
        <v>-9825.6333247650018</v>
      </c>
      <c r="W93" s="195">
        <f t="shared" si="18"/>
        <v>-2.5820102182584321</v>
      </c>
      <c r="X93" s="194">
        <v>87.485188499999992</v>
      </c>
      <c r="Y93" s="195">
        <f t="shared" si="19"/>
        <v>2.2989627557536356E-2</v>
      </c>
      <c r="Z93" s="194">
        <v>-7268.7593041849987</v>
      </c>
      <c r="AA93" s="195">
        <f t="shared" si="20"/>
        <v>-1.9101069800928672</v>
      </c>
      <c r="AB93" s="194">
        <v>2469.3888320800024</v>
      </c>
      <c r="AC93" s="195">
        <f t="shared" si="21"/>
        <v>0.6489136106080281</v>
      </c>
      <c r="AD93" s="194">
        <v>357698</v>
      </c>
      <c r="AE93" s="194">
        <v>21.38050579494444</v>
      </c>
      <c r="AF93" s="194"/>
      <c r="AG93" s="194"/>
      <c r="AH93" s="194">
        <v>18466.831165929998</v>
      </c>
      <c r="AI93" s="195">
        <f t="shared" si="13"/>
        <v>4.8527708284315523</v>
      </c>
      <c r="AJ93" s="20"/>
      <c r="AK93" s="26"/>
      <c r="AL93" s="5"/>
      <c r="AM93" s="26"/>
      <c r="AN93" s="26"/>
      <c r="AO93" s="26"/>
      <c r="AP93" s="26"/>
      <c r="AQ93" s="26"/>
      <c r="AR93" s="25"/>
      <c r="AS93" s="25"/>
      <c r="AT93" s="25"/>
      <c r="AU93" s="26"/>
      <c r="AV93" s="26"/>
      <c r="AW93" s="26"/>
      <c r="AX93" s="25"/>
      <c r="AY93" s="26"/>
      <c r="AZ93" s="22"/>
      <c r="BA93" s="24"/>
      <c r="BB93" s="21"/>
      <c r="BC93" s="24"/>
      <c r="BD93" s="22"/>
      <c r="BE93" s="24"/>
      <c r="BF93" s="24"/>
      <c r="BG93" s="24"/>
      <c r="BH93" s="22"/>
      <c r="BI93" s="24"/>
      <c r="BJ93" s="24"/>
      <c r="BK93" s="24"/>
      <c r="BL93" s="21"/>
      <c r="BM93" s="24"/>
      <c r="BN93" s="27"/>
      <c r="BO93" s="27"/>
      <c r="BP93" s="27"/>
      <c r="BQ93" s="27"/>
      <c r="BR93" s="23">
        <f>'BCB-DBGG-trimestral'!B35</f>
        <v>4005700.2451990992</v>
      </c>
      <c r="BS93" s="29">
        <f>'BCB-DBGG-trimestral'!C35</f>
        <v>66.325830159670602</v>
      </c>
      <c r="CB93" s="9"/>
      <c r="CC93" s="9"/>
      <c r="CD93" s="9"/>
      <c r="CE93" s="9"/>
    </row>
    <row r="94" spans="2:83">
      <c r="B94" s="30" t="s">
        <v>187</v>
      </c>
      <c r="C94" s="192">
        <v>1559050.1548568669</v>
      </c>
      <c r="D94" s="190"/>
      <c r="E94" s="190"/>
      <c r="F94" s="191"/>
      <c r="G94" s="190">
        <v>0.28153972721980391</v>
      </c>
      <c r="H94" s="193">
        <v>312102.89392293117</v>
      </c>
      <c r="I94" s="191">
        <f t="shared" si="14"/>
        <v>20.018784703663666</v>
      </c>
      <c r="J94" s="192">
        <v>986780.29971329425</v>
      </c>
      <c r="K94" s="191">
        <f t="shared" si="15"/>
        <v>63.293685366003402</v>
      </c>
      <c r="L94" s="193">
        <v>192725.87872506276</v>
      </c>
      <c r="M94" s="191">
        <f t="shared" si="16"/>
        <v>12.361749756713666</v>
      </c>
      <c r="N94" s="193">
        <v>208109.69493990464</v>
      </c>
      <c r="O94" s="191">
        <f t="shared" si="17"/>
        <v>13.348492624922049</v>
      </c>
      <c r="P94" s="185">
        <v>1.7495423906725733</v>
      </c>
      <c r="Q94" s="18">
        <v>14.25</v>
      </c>
      <c r="R94" s="18">
        <v>32.146043272603933</v>
      </c>
      <c r="S94" s="18">
        <v>12.26</v>
      </c>
      <c r="T94" s="187">
        <v>3.35026</v>
      </c>
      <c r="U94" s="194">
        <v>440947</v>
      </c>
      <c r="V94" s="194">
        <v>-3466.7970146700009</v>
      </c>
      <c r="W94" s="195">
        <f t="shared" si="18"/>
        <v>-0.78621626060955196</v>
      </c>
      <c r="X94" s="194">
        <v>24.324115949999999</v>
      </c>
      <c r="Y94" s="195">
        <f t="shared" si="19"/>
        <v>5.5163355119776294E-3</v>
      </c>
      <c r="Z94" s="194">
        <v>-1742.8895051499971</v>
      </c>
      <c r="AA94" s="195">
        <f t="shared" si="20"/>
        <v>-0.39526054268426752</v>
      </c>
      <c r="AB94" s="194">
        <v>1699.5833935700034</v>
      </c>
      <c r="AC94" s="195">
        <f t="shared" si="21"/>
        <v>0.38543938241330666</v>
      </c>
      <c r="AD94" s="194">
        <v>364152</v>
      </c>
      <c r="AE94" s="194">
        <v>22.206245277806744</v>
      </c>
      <c r="AF94" s="194"/>
      <c r="AG94" s="194"/>
      <c r="AH94" s="194">
        <v>16746.688399570001</v>
      </c>
      <c r="AI94" s="195">
        <f t="shared" si="13"/>
        <v>3.7978914471739236</v>
      </c>
      <c r="AJ94" s="20"/>
      <c r="AK94" s="26"/>
      <c r="AL94" s="5"/>
      <c r="AM94" s="26"/>
      <c r="AN94" s="26"/>
      <c r="AO94" s="26"/>
      <c r="AP94" s="26"/>
      <c r="AQ94" s="26"/>
      <c r="AR94" s="25"/>
      <c r="AS94" s="25"/>
      <c r="AT94" s="25"/>
      <c r="AU94" s="26"/>
      <c r="AV94" s="26"/>
      <c r="AW94" s="26"/>
      <c r="AX94" s="25"/>
      <c r="AY94" s="26"/>
      <c r="AZ94" s="22"/>
      <c r="BA94" s="24"/>
      <c r="BB94" s="21"/>
      <c r="BC94" s="24"/>
      <c r="BD94" s="22"/>
      <c r="BE94" s="24"/>
      <c r="BF94" s="24"/>
      <c r="BG94" s="24"/>
      <c r="BH94" s="22"/>
      <c r="BI94" s="24"/>
      <c r="BJ94" s="24"/>
      <c r="BK94" s="24"/>
      <c r="BL94" s="21"/>
      <c r="BM94" s="24"/>
      <c r="BN94" s="27"/>
      <c r="BO94" s="27"/>
      <c r="BP94" s="27"/>
      <c r="BQ94" s="27"/>
      <c r="BR94" s="23">
        <f>'BCB-DBGG-trimestral'!B36</f>
        <v>4130830.6013265401</v>
      </c>
      <c r="BS94" s="29">
        <f>'BCB-DBGG-trimestral'!C36</f>
        <v>67.513695945777314</v>
      </c>
      <c r="CB94" s="9"/>
      <c r="CC94" s="9"/>
      <c r="CD94" s="9"/>
      <c r="CE94" s="9"/>
    </row>
    <row r="95" spans="2:83">
      <c r="B95" s="30" t="s">
        <v>188</v>
      </c>
      <c r="C95" s="192">
        <v>1577170.4892283455</v>
      </c>
      <c r="D95" s="190"/>
      <c r="E95" s="190"/>
      <c r="F95" s="191"/>
      <c r="G95" s="190">
        <v>-0.48830263973549393</v>
      </c>
      <c r="H95" s="193">
        <v>303263.48337238759</v>
      </c>
      <c r="I95" s="191">
        <f t="shared" si="14"/>
        <v>19.228326008100989</v>
      </c>
      <c r="J95" s="192">
        <v>1016028.8429505599</v>
      </c>
      <c r="K95" s="191">
        <f t="shared" si="15"/>
        <v>64.420989987434226</v>
      </c>
      <c r="L95" s="193">
        <v>184594.78528917331</v>
      </c>
      <c r="M95" s="191">
        <f t="shared" si="16"/>
        <v>11.70417444086778</v>
      </c>
      <c r="N95" s="193">
        <v>192894.11508659626</v>
      </c>
      <c r="O95" s="191">
        <f t="shared" si="17"/>
        <v>12.230390842588781</v>
      </c>
      <c r="P95" s="185">
        <v>1.0431431561581377</v>
      </c>
      <c r="Q95" s="18">
        <v>14.25</v>
      </c>
      <c r="R95" s="18">
        <v>32.767114310446431</v>
      </c>
      <c r="S95" s="18">
        <v>12.19</v>
      </c>
      <c r="T95" s="187">
        <v>3.2377200000000004</v>
      </c>
      <c r="U95" s="194">
        <v>483580</v>
      </c>
      <c r="V95" s="194">
        <v>-7704.3594271249985</v>
      </c>
      <c r="W95" s="195">
        <f t="shared" si="18"/>
        <v>-1.5931923212550145</v>
      </c>
      <c r="X95" s="194">
        <v>86.16064415000001</v>
      </c>
      <c r="Y95" s="195">
        <f t="shared" si="19"/>
        <v>1.7817247229000376E-2</v>
      </c>
      <c r="Z95" s="194">
        <v>-6371.0966663849977</v>
      </c>
      <c r="AA95" s="195">
        <f t="shared" si="20"/>
        <v>-1.3174855590357331</v>
      </c>
      <c r="AB95" s="194">
        <v>1247.1021165900002</v>
      </c>
      <c r="AC95" s="195">
        <f t="shared" si="21"/>
        <v>0.25788951499028084</v>
      </c>
      <c r="AD95" s="194">
        <v>370417</v>
      </c>
      <c r="AE95" s="194">
        <v>21.75501593376066</v>
      </c>
      <c r="AF95" s="194"/>
      <c r="AG95" s="194"/>
      <c r="AH95" s="194">
        <v>12327.700420499999</v>
      </c>
      <c r="AI95" s="195">
        <f t="shared" si="13"/>
        <v>2.5492577072045988</v>
      </c>
      <c r="AJ95" s="20"/>
      <c r="AK95" s="26"/>
      <c r="AL95" s="5"/>
      <c r="AM95" s="26"/>
      <c r="AN95" s="26"/>
      <c r="AO95" s="26"/>
      <c r="AP95" s="26"/>
      <c r="AQ95" s="26"/>
      <c r="AR95" s="25"/>
      <c r="AS95" s="25"/>
      <c r="AT95" s="25"/>
      <c r="AU95" s="26"/>
      <c r="AV95" s="26"/>
      <c r="AW95" s="26"/>
      <c r="AX95" s="25"/>
      <c r="AY95" s="26"/>
      <c r="AZ95" s="22"/>
      <c r="BA95" s="24"/>
      <c r="BB95" s="21"/>
      <c r="BC95" s="24"/>
      <c r="BD95" s="22"/>
      <c r="BE95" s="24"/>
      <c r="BF95" s="24"/>
      <c r="BG95" s="24"/>
      <c r="BH95" s="22"/>
      <c r="BI95" s="24"/>
      <c r="BJ95" s="24"/>
      <c r="BK95" s="24"/>
      <c r="BL95" s="21"/>
      <c r="BM95" s="24"/>
      <c r="BN95" s="27"/>
      <c r="BO95" s="27"/>
      <c r="BP95" s="27"/>
      <c r="BQ95" s="27"/>
      <c r="BR95" s="23">
        <f>'BCB-DBGG-trimestral'!B37</f>
        <v>4329703.1286628004</v>
      </c>
      <c r="BS95" s="29">
        <f>'BCB-DBGG-trimestral'!C37</f>
        <v>69.975567609883598</v>
      </c>
      <c r="CB95" s="9"/>
      <c r="CC95" s="9"/>
      <c r="CD95" s="9"/>
      <c r="CE95" s="9"/>
    </row>
    <row r="96" spans="2:83">
      <c r="B96" s="30" t="s">
        <v>189</v>
      </c>
      <c r="C96" s="192">
        <v>1632808.4737254947</v>
      </c>
      <c r="D96" s="190"/>
      <c r="E96" s="190"/>
      <c r="F96" s="191"/>
      <c r="G96" s="190">
        <v>-0.11649935400716016</v>
      </c>
      <c r="H96" s="193">
        <v>377530.68376163323</v>
      </c>
      <c r="I96" s="191">
        <f t="shared" si="14"/>
        <v>23.121553436101479</v>
      </c>
      <c r="J96" s="192">
        <v>1050733.5765152341</v>
      </c>
      <c r="K96" s="191">
        <f t="shared" si="15"/>
        <v>64.351305950650143</v>
      </c>
      <c r="L96" s="193">
        <v>183380.27148568793</v>
      </c>
      <c r="M96" s="191">
        <f t="shared" si="16"/>
        <v>11.230972550459557</v>
      </c>
      <c r="N96" s="193">
        <v>185209.94847502175</v>
      </c>
      <c r="O96" s="191">
        <f t="shared" si="17"/>
        <v>11.343029599328194</v>
      </c>
      <c r="P96" s="185">
        <v>0.74190016728087471</v>
      </c>
      <c r="Q96" s="18">
        <v>13.75</v>
      </c>
      <c r="R96" s="18">
        <v>31.836507493097276</v>
      </c>
      <c r="S96" s="18">
        <v>11.77</v>
      </c>
      <c r="T96" s="187">
        <v>3.3009199999999992</v>
      </c>
      <c r="U96" s="194">
        <v>495066</v>
      </c>
      <c r="V96" s="194">
        <v>-9532.0357002599994</v>
      </c>
      <c r="W96" s="195">
        <f t="shared" si="18"/>
        <v>-1.9254070568893844</v>
      </c>
      <c r="X96" s="194">
        <v>75.251271329999994</v>
      </c>
      <c r="Y96" s="195">
        <f t="shared" si="19"/>
        <v>1.5200250336318792E-2</v>
      </c>
      <c r="Z96" s="194">
        <v>-6808.9353269899984</v>
      </c>
      <c r="AA96" s="195">
        <f t="shared" si="20"/>
        <v>-1.375359109086465</v>
      </c>
      <c r="AB96" s="194">
        <v>2647.8491019400008</v>
      </c>
      <c r="AC96" s="195">
        <f t="shared" si="21"/>
        <v>0.53484769746660055</v>
      </c>
      <c r="AD96" s="194">
        <v>365016</v>
      </c>
      <c r="AE96" s="194">
        <v>20.277145880725612</v>
      </c>
      <c r="AF96" s="194"/>
      <c r="AG96" s="194"/>
      <c r="AH96" s="194">
        <v>26753.407815190003</v>
      </c>
      <c r="AI96" s="195">
        <f t="shared" si="13"/>
        <v>5.4040083171112547</v>
      </c>
      <c r="AJ96" s="20"/>
      <c r="AK96" s="26"/>
      <c r="AL96" s="5"/>
      <c r="AM96" s="26"/>
      <c r="AN96" s="26"/>
      <c r="AO96" s="26"/>
      <c r="AP96" s="26"/>
      <c r="AQ96" s="26"/>
      <c r="AR96" s="25"/>
      <c r="AS96" s="25"/>
      <c r="AT96" s="25"/>
      <c r="AU96" s="26"/>
      <c r="AV96" s="26"/>
      <c r="AW96" s="26"/>
      <c r="AX96" s="25"/>
      <c r="AY96" s="26"/>
      <c r="AZ96" s="22"/>
      <c r="BA96" s="24"/>
      <c r="BB96" s="21"/>
      <c r="BC96" s="24"/>
      <c r="BD96" s="22"/>
      <c r="BE96" s="24"/>
      <c r="BF96" s="24"/>
      <c r="BG96" s="24"/>
      <c r="BH96" s="22"/>
      <c r="BI96" s="24"/>
      <c r="BJ96" s="24"/>
      <c r="BK96" s="24"/>
      <c r="BL96" s="21"/>
      <c r="BM96" s="24"/>
      <c r="BN96" s="27"/>
      <c r="BO96" s="27"/>
      <c r="BP96" s="27"/>
      <c r="BQ96" s="27"/>
      <c r="BR96" s="23">
        <f>'BCB-DBGG-trimestral'!B38</f>
        <v>4378486.3949722499</v>
      </c>
      <c r="BS96" s="29">
        <f>'BCB-DBGG-trimestral'!C38</f>
        <v>69.839804114761264</v>
      </c>
      <c r="CB96" s="9"/>
      <c r="CC96" s="9"/>
      <c r="CD96" s="9"/>
      <c r="CE96" s="9"/>
    </row>
    <row r="97" spans="2:83">
      <c r="B97" s="30" t="s">
        <v>182</v>
      </c>
      <c r="C97" s="192">
        <v>1585673.4119428128</v>
      </c>
      <c r="D97" s="190"/>
      <c r="E97" s="190"/>
      <c r="F97" s="191"/>
      <c r="G97" s="190">
        <v>0.99011645122188963</v>
      </c>
      <c r="H97" s="193">
        <v>302818.40632457443</v>
      </c>
      <c r="I97" s="191">
        <f t="shared" si="14"/>
        <v>19.097148507620656</v>
      </c>
      <c r="J97" s="192">
        <v>1017562.9510487107</v>
      </c>
      <c r="K97" s="191">
        <f t="shared" si="15"/>
        <v>64.172290673775194</v>
      </c>
      <c r="L97" s="193">
        <v>184017.93679584432</v>
      </c>
      <c r="M97" s="191">
        <f t="shared" si="16"/>
        <v>11.605033887172279</v>
      </c>
      <c r="N97" s="192">
        <v>192343.65931908478</v>
      </c>
      <c r="O97" s="191">
        <f t="shared" si="17"/>
        <v>12.130092985756743</v>
      </c>
      <c r="P97" s="185">
        <v>0.96300018845404622</v>
      </c>
      <c r="Q97" s="18">
        <v>12.25</v>
      </c>
      <c r="R97" s="18">
        <v>31.681988968902775</v>
      </c>
      <c r="S97" s="18">
        <v>9.84</v>
      </c>
      <c r="T97" s="187">
        <v>3.1185100000000006</v>
      </c>
      <c r="U97" s="194">
        <v>504742</v>
      </c>
      <c r="V97" s="194">
        <v>-7656.8803978950027</v>
      </c>
      <c r="W97" s="195">
        <f t="shared" si="18"/>
        <v>-1.5169889563172874</v>
      </c>
      <c r="X97" s="194">
        <v>120.40729358999999</v>
      </c>
      <c r="Y97" s="195">
        <f t="shared" si="19"/>
        <v>2.3855215850870345E-2</v>
      </c>
      <c r="Z97" s="194">
        <v>-6950.8882183350015</v>
      </c>
      <c r="AA97" s="195">
        <f t="shared" si="20"/>
        <v>-1.3771170654185707</v>
      </c>
      <c r="AB97" s="194">
        <v>585.5848859700003</v>
      </c>
      <c r="AC97" s="195">
        <f t="shared" si="21"/>
        <v>0.11601667504784628</v>
      </c>
      <c r="AD97" s="194">
        <v>370111</v>
      </c>
      <c r="AE97" s="194">
        <v>19.233189647332715</v>
      </c>
      <c r="AF97" s="194"/>
      <c r="AG97" s="194"/>
      <c r="AH97" s="194">
        <v>24059.279377569997</v>
      </c>
      <c r="AI97" s="195">
        <f t="shared" si="13"/>
        <v>4.766648976619738</v>
      </c>
      <c r="AJ97" s="20"/>
      <c r="AK97" s="26"/>
      <c r="AL97" s="5"/>
      <c r="AM97" s="26"/>
      <c r="AN97" s="26"/>
      <c r="AO97" s="26"/>
      <c r="AP97" s="26"/>
      <c r="AQ97" s="26"/>
      <c r="AR97" s="25"/>
      <c r="AS97" s="25"/>
      <c r="AT97" s="25"/>
      <c r="AU97" s="26"/>
      <c r="AV97" s="26"/>
      <c r="AW97" s="26"/>
      <c r="AX97" s="25"/>
      <c r="AY97" s="26"/>
      <c r="AZ97" s="22"/>
      <c r="BA97" s="24"/>
      <c r="BB97" s="21"/>
      <c r="BC97" s="24"/>
      <c r="BD97" s="22"/>
      <c r="BE97" s="24"/>
      <c r="BF97" s="24"/>
      <c r="BG97" s="24"/>
      <c r="BH97" s="22"/>
      <c r="BI97" s="24"/>
      <c r="BJ97" s="24"/>
      <c r="BK97" s="24"/>
      <c r="BL97" s="21"/>
      <c r="BM97" s="24"/>
      <c r="BN97" s="27"/>
      <c r="BO97" s="27"/>
      <c r="BP97" s="27"/>
      <c r="BQ97" s="27"/>
      <c r="BR97" s="23">
        <f>'BCB-DBGG-trimestral'!B39</f>
        <v>4527003.4531298708</v>
      </c>
      <c r="BS97" s="29">
        <f>'BCB-DBGG-trimestral'!C39</f>
        <v>71.238636772277985</v>
      </c>
      <c r="CB97" s="9"/>
      <c r="CC97" s="9"/>
      <c r="CD97" s="9"/>
      <c r="CE97" s="9"/>
    </row>
    <row r="98" spans="2:83">
      <c r="B98" s="30" t="s">
        <v>183</v>
      </c>
      <c r="C98" s="192">
        <v>1630729.5730859581</v>
      </c>
      <c r="D98" s="190"/>
      <c r="E98" s="190"/>
      <c r="F98" s="191"/>
      <c r="G98" s="190">
        <v>0.79467603720835278</v>
      </c>
      <c r="H98" s="193">
        <v>333558.73972330819</v>
      </c>
      <c r="I98" s="191">
        <f t="shared" si="14"/>
        <v>20.454571084529281</v>
      </c>
      <c r="J98" s="192">
        <v>1035708.199270912</v>
      </c>
      <c r="K98" s="191">
        <f t="shared" si="15"/>
        <v>63.511952954342988</v>
      </c>
      <c r="L98" s="193">
        <v>185047.910053236</v>
      </c>
      <c r="M98" s="191">
        <f t="shared" si="16"/>
        <v>11.347553457502782</v>
      </c>
      <c r="N98" s="192">
        <v>216287.70125622686</v>
      </c>
      <c r="O98" s="191">
        <f t="shared" si="17"/>
        <v>13.263247617870116</v>
      </c>
      <c r="P98" s="185">
        <v>0.21942513931838903</v>
      </c>
      <c r="Q98" s="18">
        <v>10.25</v>
      </c>
      <c r="R98" s="18">
        <v>28.475203512534407</v>
      </c>
      <c r="S98" s="18">
        <v>8.81</v>
      </c>
      <c r="T98" s="187">
        <v>3.3143500000000001</v>
      </c>
      <c r="U98" s="194">
        <v>508091</v>
      </c>
      <c r="V98" s="194">
        <v>-135.3645543500046</v>
      </c>
      <c r="W98" s="195">
        <f t="shared" si="18"/>
        <v>-2.6641793369692558E-2</v>
      </c>
      <c r="X98" s="194">
        <v>58.835458590000002</v>
      </c>
      <c r="Y98" s="195">
        <f t="shared" si="19"/>
        <v>1.1579708869080539E-2</v>
      </c>
      <c r="Z98" s="194">
        <v>1122.7053094199985</v>
      </c>
      <c r="AA98" s="195">
        <f t="shared" si="20"/>
        <v>0.22096539978468394</v>
      </c>
      <c r="AB98" s="194">
        <v>1199.234405180003</v>
      </c>
      <c r="AC98" s="195">
        <f t="shared" si="21"/>
        <v>0.23602748428529596</v>
      </c>
      <c r="AD98" s="194">
        <v>377175</v>
      </c>
      <c r="AE98" s="194">
        <v>18.939441490470148</v>
      </c>
      <c r="AF98" s="194"/>
      <c r="AG98" s="194"/>
      <c r="AH98" s="194">
        <v>11321.423097019999</v>
      </c>
      <c r="AI98" s="195">
        <f t="shared" si="13"/>
        <v>2.2282274429226261</v>
      </c>
      <c r="AJ98" s="20"/>
      <c r="AK98" s="26"/>
      <c r="AL98" s="5"/>
      <c r="AM98" s="26"/>
      <c r="AN98" s="26"/>
      <c r="AO98" s="26"/>
      <c r="AP98" s="26"/>
      <c r="AQ98" s="26"/>
      <c r="AR98" s="25"/>
      <c r="AS98" s="25"/>
      <c r="AT98" s="25"/>
      <c r="AU98" s="26"/>
      <c r="AV98" s="26"/>
      <c r="AW98" s="26"/>
      <c r="AX98" s="25"/>
      <c r="AY98" s="26"/>
      <c r="AZ98" s="22"/>
      <c r="BA98" s="24"/>
      <c r="BB98" s="21"/>
      <c r="BC98" s="24"/>
      <c r="BD98" s="22"/>
      <c r="BE98" s="24"/>
      <c r="BF98" s="24"/>
      <c r="BG98" s="24"/>
      <c r="BH98" s="22"/>
      <c r="BI98" s="24"/>
      <c r="BJ98" s="24"/>
      <c r="BK98" s="24"/>
      <c r="BL98" s="21"/>
      <c r="BM98" s="24"/>
      <c r="BN98" s="27"/>
      <c r="BO98" s="27"/>
      <c r="BP98" s="27"/>
      <c r="BQ98" s="27"/>
      <c r="BR98" s="23">
        <f>'BCB-DBGG-trimestral'!B40</f>
        <v>4674598.7191641601</v>
      </c>
      <c r="BS98" s="29">
        <f>'BCB-DBGG-trimestral'!C40</f>
        <v>72.740754549013758</v>
      </c>
      <c r="CB98" s="9"/>
      <c r="CC98" s="9"/>
      <c r="CD98" s="9"/>
      <c r="CE98" s="9"/>
    </row>
    <row r="99" spans="2:83">
      <c r="B99" s="30" t="s">
        <v>184</v>
      </c>
      <c r="C99" s="192">
        <v>1648635.2556599821</v>
      </c>
      <c r="D99" s="190"/>
      <c r="E99" s="190"/>
      <c r="F99" s="191"/>
      <c r="G99" s="190">
        <v>0.28486513285734816</v>
      </c>
      <c r="H99" s="193">
        <v>314360.76338552881</v>
      </c>
      <c r="I99" s="191">
        <f t="shared" si="14"/>
        <v>19.067938909245505</v>
      </c>
      <c r="J99" s="192">
        <v>1070401.7801216589</v>
      </c>
      <c r="K99" s="191">
        <f t="shared" si="15"/>
        <v>64.926537052196878</v>
      </c>
      <c r="L99" s="193">
        <v>200300.20513479348</v>
      </c>
      <c r="M99" s="191">
        <f t="shared" si="16"/>
        <v>12.149455402408536</v>
      </c>
      <c r="N99" s="192">
        <v>210483.55776732671</v>
      </c>
      <c r="O99" s="191">
        <f t="shared" si="17"/>
        <v>12.767139186470079</v>
      </c>
      <c r="P99" s="185">
        <v>0.59102657757119914</v>
      </c>
      <c r="Q99" s="18">
        <v>8.25</v>
      </c>
      <c r="R99" s="18">
        <v>26.824179456254527</v>
      </c>
      <c r="S99" s="18">
        <v>7.29</v>
      </c>
      <c r="T99" s="187">
        <v>3.1504400000000006</v>
      </c>
      <c r="U99" s="194">
        <v>521325</v>
      </c>
      <c r="V99" s="194">
        <v>-7381.2534632399947</v>
      </c>
      <c r="W99" s="195">
        <f t="shared" si="18"/>
        <v>-1.4158640892418348</v>
      </c>
      <c r="X99" s="194">
        <v>146.37403756</v>
      </c>
      <c r="Y99" s="195">
        <f t="shared" si="19"/>
        <v>2.8077310230662254E-2</v>
      </c>
      <c r="Z99" s="194">
        <v>-4668.4508631700037</v>
      </c>
      <c r="AA99" s="195">
        <f t="shared" si="20"/>
        <v>-0.89549721635640034</v>
      </c>
      <c r="AB99" s="194">
        <v>2566.4285625099919</v>
      </c>
      <c r="AC99" s="195">
        <f t="shared" si="21"/>
        <v>0.49228956265477236</v>
      </c>
      <c r="AD99" s="194">
        <v>381244</v>
      </c>
      <c r="AE99" s="194">
        <v>18.787674500203032</v>
      </c>
      <c r="AF99" s="194"/>
      <c r="AG99" s="194"/>
      <c r="AH99" s="194">
        <v>17956.228416739999</v>
      </c>
      <c r="AI99" s="195">
        <f t="shared" si="13"/>
        <v>3.4443443949052894</v>
      </c>
      <c r="AJ99" s="20"/>
      <c r="AK99" s="26"/>
      <c r="AL99" s="5"/>
      <c r="AM99" s="26"/>
      <c r="AN99" s="26"/>
      <c r="AO99" s="26"/>
      <c r="AP99" s="26"/>
      <c r="AQ99" s="26"/>
      <c r="AR99" s="25"/>
      <c r="AS99" s="25"/>
      <c r="AT99" s="25"/>
      <c r="AU99" s="26"/>
      <c r="AV99" s="26"/>
      <c r="AW99" s="26"/>
      <c r="AX99" s="25"/>
      <c r="AY99" s="26"/>
      <c r="AZ99" s="22"/>
      <c r="BA99" s="24"/>
      <c r="BB99" s="21"/>
      <c r="BC99" s="24"/>
      <c r="BD99" s="22"/>
      <c r="BE99" s="24"/>
      <c r="BF99" s="24"/>
      <c r="BG99" s="24"/>
      <c r="BH99" s="22"/>
      <c r="BI99" s="24"/>
      <c r="BJ99" s="24"/>
      <c r="BK99" s="24"/>
      <c r="BL99" s="21"/>
      <c r="BM99" s="24"/>
      <c r="BN99" s="27"/>
      <c r="BO99" s="27"/>
      <c r="BP99" s="27"/>
      <c r="BQ99" s="27"/>
      <c r="BR99" s="23">
        <f>'BCB-DBGG-trimestral'!B41</f>
        <v>4789341.5865581501</v>
      </c>
      <c r="BS99" s="29">
        <f>'BCB-DBGG-trimestral'!C41</f>
        <v>73.706595385420485</v>
      </c>
      <c r="CB99" s="9"/>
      <c r="CC99" s="9"/>
      <c r="CD99" s="9"/>
      <c r="CE99" s="9"/>
    </row>
    <row r="100" spans="2:83">
      <c r="B100" s="30" t="s">
        <v>185</v>
      </c>
      <c r="C100" s="192">
        <v>1720440.7594510289</v>
      </c>
      <c r="D100" s="190"/>
      <c r="E100" s="190"/>
      <c r="F100" s="191"/>
      <c r="G100" s="190">
        <v>0.60375846789075815</v>
      </c>
      <c r="H100" s="193">
        <v>377020.09039681312</v>
      </c>
      <c r="I100" s="191">
        <f t="shared" si="14"/>
        <v>21.914157074325274</v>
      </c>
      <c r="J100" s="192">
        <v>1123586.0697782238</v>
      </c>
      <c r="K100" s="191">
        <f t="shared" si="15"/>
        <v>65.308035955666739</v>
      </c>
      <c r="L100" s="193">
        <v>207770.94797064946</v>
      </c>
      <c r="M100" s="191">
        <f t="shared" si="16"/>
        <v>12.076611579287773</v>
      </c>
      <c r="N100" s="192">
        <v>205319.08180347725</v>
      </c>
      <c r="O100" s="191">
        <f t="shared" si="17"/>
        <v>11.934097740685475</v>
      </c>
      <c r="P100" s="185">
        <v>1.1444547536120382</v>
      </c>
      <c r="Q100" s="18">
        <v>7</v>
      </c>
      <c r="R100" s="18">
        <v>25.487832818461076</v>
      </c>
      <c r="S100" s="18">
        <v>6.66</v>
      </c>
      <c r="T100" s="187">
        <v>3.3050000000000006</v>
      </c>
      <c r="U100" s="194">
        <v>529026</v>
      </c>
      <c r="V100" s="194">
        <v>-10090.100134724995</v>
      </c>
      <c r="W100" s="195">
        <f t="shared" si="18"/>
        <v>-1.9072975874011855</v>
      </c>
      <c r="X100" s="194">
        <v>-20.057081529999984</v>
      </c>
      <c r="Y100" s="195">
        <f t="shared" si="19"/>
        <v>-3.7913224548509874E-3</v>
      </c>
      <c r="Z100" s="194">
        <v>-9909.7521371249968</v>
      </c>
      <c r="AA100" s="195">
        <f t="shared" si="20"/>
        <v>-1.8732070138565962</v>
      </c>
      <c r="AB100" s="194">
        <v>200.40507912999846</v>
      </c>
      <c r="AC100" s="195">
        <f t="shared" si="21"/>
        <v>3.7881895999440189E-2</v>
      </c>
      <c r="AD100" s="194">
        <v>373972</v>
      </c>
      <c r="AE100" s="194">
        <v>18.125964528612087</v>
      </c>
      <c r="AF100" s="194"/>
      <c r="AG100" s="194"/>
      <c r="AH100" s="194">
        <v>15548.5604239</v>
      </c>
      <c r="AI100" s="195">
        <f t="shared" si="13"/>
        <v>2.9390919206050365</v>
      </c>
      <c r="AJ100" s="20"/>
      <c r="AK100" s="26"/>
      <c r="AL100" s="5"/>
      <c r="AM100" s="26"/>
      <c r="AN100" s="26"/>
      <c r="AO100" s="26"/>
      <c r="AP100" s="26"/>
      <c r="AQ100" s="26"/>
      <c r="AR100" s="25"/>
      <c r="AS100" s="25"/>
      <c r="AT100" s="25"/>
      <c r="AU100" s="26"/>
      <c r="AV100" s="26"/>
      <c r="AW100" s="26"/>
      <c r="AX100" s="25"/>
      <c r="AY100" s="26"/>
      <c r="AZ100" s="22"/>
      <c r="BA100" s="24"/>
      <c r="BB100" s="21"/>
      <c r="BC100" s="24"/>
      <c r="BD100" s="22"/>
      <c r="BE100" s="24"/>
      <c r="BF100" s="24"/>
      <c r="BG100" s="24"/>
      <c r="BH100" s="22"/>
      <c r="BI100" s="24"/>
      <c r="BJ100" s="24"/>
      <c r="BK100" s="24"/>
      <c r="BL100" s="21"/>
      <c r="BM100" s="24"/>
      <c r="BN100" s="27"/>
      <c r="BO100" s="27"/>
      <c r="BP100" s="27"/>
      <c r="BQ100" s="27"/>
      <c r="BR100" s="23">
        <f>'BCB-DBGG-trimestral'!B42</f>
        <v>4854678.5864731595</v>
      </c>
      <c r="BS100" s="29">
        <f>'BCB-DBGG-trimestral'!C42</f>
        <v>73.717926765389677</v>
      </c>
      <c r="CB100" s="9"/>
      <c r="CC100" s="9"/>
      <c r="CD100" s="9"/>
      <c r="CE100" s="9"/>
    </row>
    <row r="101" spans="2:83">
      <c r="B101" s="30" t="s">
        <v>178</v>
      </c>
      <c r="C101" s="192">
        <v>1682083.0632318743</v>
      </c>
      <c r="D101" s="190"/>
      <c r="E101" s="190"/>
      <c r="F101" s="191"/>
      <c r="G101" s="190">
        <v>0.50955490287696303</v>
      </c>
      <c r="H101" s="193">
        <v>315174.34565416223</v>
      </c>
      <c r="I101" s="191">
        <f t="shared" si="14"/>
        <v>18.737145182866371</v>
      </c>
      <c r="J101" s="192">
        <v>1088771.760447257</v>
      </c>
      <c r="K101" s="191">
        <f t="shared" si="15"/>
        <v>64.727585946638257</v>
      </c>
      <c r="L101" s="193">
        <v>211694.68305053076</v>
      </c>
      <c r="M101" s="191">
        <f t="shared" si="16"/>
        <v>12.585269281755366</v>
      </c>
      <c r="N101" s="192">
        <v>212287.8741479686</v>
      </c>
      <c r="O101" s="191">
        <f t="shared" si="17"/>
        <v>12.620534549589294</v>
      </c>
      <c r="P101" s="185">
        <v>0.70152101308664783</v>
      </c>
      <c r="Q101" s="18">
        <v>6.5</v>
      </c>
      <c r="R101" s="18">
        <v>25.931840613381894</v>
      </c>
      <c r="S101" s="18">
        <v>6.16</v>
      </c>
      <c r="T101" s="187">
        <v>3.3069999999999999</v>
      </c>
      <c r="U101" s="194">
        <v>516231</v>
      </c>
      <c r="V101" s="194">
        <v>-17041.657421429998</v>
      </c>
      <c r="W101" s="195">
        <f t="shared" si="18"/>
        <v>-3.3011689382137064</v>
      </c>
      <c r="X101" s="194">
        <v>-51.646348120000006</v>
      </c>
      <c r="Y101" s="195">
        <f t="shared" si="19"/>
        <v>-1.0004503433540412E-2</v>
      </c>
      <c r="Z101" s="194">
        <v>-16179.068317060002</v>
      </c>
      <c r="AA101" s="195">
        <f t="shared" si="20"/>
        <v>-3.1340753106768102</v>
      </c>
      <c r="AB101" s="194">
        <v>914.23545248999437</v>
      </c>
      <c r="AC101" s="195">
        <f t="shared" si="21"/>
        <v>0.17709813097043656</v>
      </c>
      <c r="AD101" s="194">
        <v>379577</v>
      </c>
      <c r="AE101" s="194">
        <v>18.295750703845858</v>
      </c>
      <c r="AF101" s="194"/>
      <c r="AG101" s="194"/>
      <c r="AH101" s="194">
        <v>21157.525673709999</v>
      </c>
      <c r="AI101" s="195">
        <f t="shared" si="13"/>
        <v>4.0984608971003293</v>
      </c>
      <c r="AJ101" s="20"/>
      <c r="AK101" s="26"/>
      <c r="AL101" s="5"/>
      <c r="AM101" s="26"/>
      <c r="AN101" s="26"/>
      <c r="AO101" s="26"/>
      <c r="AP101" s="26"/>
      <c r="AQ101" s="26"/>
      <c r="AR101" s="25"/>
      <c r="AS101" s="25"/>
      <c r="AT101" s="25"/>
      <c r="AU101" s="26"/>
      <c r="AV101" s="26"/>
      <c r="AW101" s="26"/>
      <c r="AX101" s="25"/>
      <c r="AY101" s="26"/>
      <c r="AZ101" s="22"/>
      <c r="BA101" s="24"/>
      <c r="BB101" s="21"/>
      <c r="BC101" s="24"/>
      <c r="BD101" s="22"/>
      <c r="BE101" s="24"/>
      <c r="BF101" s="24"/>
      <c r="BG101" s="24"/>
      <c r="BH101" s="22"/>
      <c r="BI101" s="24"/>
      <c r="BJ101" s="24"/>
      <c r="BK101" s="24"/>
      <c r="BL101" s="21"/>
      <c r="BM101" s="24"/>
      <c r="BN101" s="27"/>
      <c r="BO101" s="27"/>
      <c r="BP101" s="27"/>
      <c r="BQ101" s="27"/>
      <c r="BR101" s="23">
        <f>'BCB-DBGG-trimestral'!B43</f>
        <v>4984707.5974610299</v>
      </c>
      <c r="BS101" s="29">
        <f>'BCB-DBGG-trimestral'!C43</f>
        <v>74.600279314668185</v>
      </c>
      <c r="CB101" s="9"/>
      <c r="CC101" s="9"/>
      <c r="CD101" s="9"/>
      <c r="CE101" s="9"/>
    </row>
    <row r="102" spans="2:83">
      <c r="B102" s="30" t="s">
        <v>179</v>
      </c>
      <c r="C102" s="192">
        <v>1734098.9902894408</v>
      </c>
      <c r="D102" s="190"/>
      <c r="E102" s="190"/>
      <c r="F102" s="191"/>
      <c r="G102" s="190">
        <v>-5.3882366042734553E-2</v>
      </c>
      <c r="H102" s="193">
        <v>342568.84418808628</v>
      </c>
      <c r="I102" s="191">
        <f t="shared" si="14"/>
        <v>19.75486094544739</v>
      </c>
      <c r="J102" s="192">
        <v>1099646.623930895</v>
      </c>
      <c r="K102" s="191">
        <f t="shared" si="15"/>
        <v>63.41314020068436</v>
      </c>
      <c r="L102" s="193">
        <v>226871.26233727386</v>
      </c>
      <c r="M102" s="191">
        <f t="shared" si="16"/>
        <v>13.082947606088306</v>
      </c>
      <c r="N102" s="192">
        <v>248768.80893677473</v>
      </c>
      <c r="O102" s="191">
        <f t="shared" si="17"/>
        <v>14.345709808368689</v>
      </c>
      <c r="P102" s="185">
        <v>1.8887284258576642</v>
      </c>
      <c r="Q102" s="18">
        <v>6.5</v>
      </c>
      <c r="R102" s="18">
        <v>24.3108182770297</v>
      </c>
      <c r="S102" s="18">
        <v>7.91</v>
      </c>
      <c r="T102" s="187">
        <v>3.7891900000000001</v>
      </c>
      <c r="U102" s="194">
        <v>479120</v>
      </c>
      <c r="V102" s="194">
        <v>-6939.510863739999</v>
      </c>
      <c r="W102" s="195">
        <f t="shared" si="18"/>
        <v>-1.4483868057563865</v>
      </c>
      <c r="X102" s="194">
        <v>-130.35836541</v>
      </c>
      <c r="Y102" s="195">
        <f t="shared" si="19"/>
        <v>-2.7207873895892468E-2</v>
      </c>
      <c r="Z102" s="194">
        <v>-7474.8477531899971</v>
      </c>
      <c r="AA102" s="195">
        <f t="shared" si="20"/>
        <v>-1.5601201688908826</v>
      </c>
      <c r="AB102" s="194">
        <v>-404.978524039999</v>
      </c>
      <c r="AC102" s="195">
        <f t="shared" si="21"/>
        <v>-8.4525489238603896E-2</v>
      </c>
      <c r="AD102" s="194">
        <v>379500</v>
      </c>
      <c r="AE102" s="194">
        <v>18.551089063803037</v>
      </c>
      <c r="AF102" s="194"/>
      <c r="AG102" s="194"/>
      <c r="AH102" s="194">
        <v>10410.846520629999</v>
      </c>
      <c r="AI102" s="195">
        <f t="shared" si="13"/>
        <v>2.172910026847136</v>
      </c>
      <c r="AJ102" s="20"/>
      <c r="AK102" s="26"/>
      <c r="AL102" s="5"/>
      <c r="AM102" s="26"/>
      <c r="AN102" s="26"/>
      <c r="AO102" s="26"/>
      <c r="AP102" s="26"/>
      <c r="AQ102" s="26"/>
      <c r="AR102" s="25"/>
      <c r="AS102" s="25"/>
      <c r="AT102" s="25"/>
      <c r="AU102" s="26"/>
      <c r="AV102" s="26"/>
      <c r="AW102" s="26"/>
      <c r="AX102" s="25"/>
      <c r="AY102" s="26"/>
      <c r="AZ102" s="22"/>
      <c r="BA102" s="24"/>
      <c r="BB102" s="21"/>
      <c r="BC102" s="24"/>
      <c r="BD102" s="22"/>
      <c r="BE102" s="24"/>
      <c r="BF102" s="24"/>
      <c r="BG102" s="24"/>
      <c r="BH102" s="22"/>
      <c r="BI102" s="24"/>
      <c r="BJ102" s="24"/>
      <c r="BK102" s="24"/>
      <c r="BL102" s="21"/>
      <c r="BM102" s="24"/>
      <c r="BN102" s="27"/>
      <c r="BO102" s="27"/>
      <c r="BP102" s="27"/>
      <c r="BQ102" s="27"/>
      <c r="BR102" s="23">
        <f>'BCB-DBGG-trimestral'!B44</f>
        <v>5165402.5500333514</v>
      </c>
      <c r="BS102" s="29">
        <f>'BCB-DBGG-trimestral'!C44</f>
        <v>76.126839948985392</v>
      </c>
    </row>
    <row r="103" spans="2:83">
      <c r="B103" s="30" t="s">
        <v>180</v>
      </c>
      <c r="C103" s="192">
        <v>1767855.7060506889</v>
      </c>
      <c r="D103" s="190"/>
      <c r="E103" s="190"/>
      <c r="F103" s="191"/>
      <c r="G103" s="190">
        <v>0.87283163788638429</v>
      </c>
      <c r="H103" s="193">
        <v>338338.51847318473</v>
      </c>
      <c r="I103" s="191">
        <f t="shared" si="14"/>
        <v>19.138355993375612</v>
      </c>
      <c r="J103" s="192">
        <v>1143237.6164492904</v>
      </c>
      <c r="K103" s="191">
        <f t="shared" si="15"/>
        <v>64.66803894324795</v>
      </c>
      <c r="L103" s="193">
        <v>290843.19294346793</v>
      </c>
      <c r="M103" s="191">
        <f t="shared" si="16"/>
        <v>16.451749537477735</v>
      </c>
      <c r="N103" s="192">
        <v>288212.88402798353</v>
      </c>
      <c r="O103" s="191">
        <f t="shared" si="17"/>
        <v>16.302964265779266</v>
      </c>
      <c r="P103" s="185">
        <v>0.72098896611332464</v>
      </c>
      <c r="Q103" s="18">
        <v>6.5</v>
      </c>
      <c r="R103" s="18">
        <v>24.01815021066389</v>
      </c>
      <c r="S103" s="18">
        <v>8.3699999999999992</v>
      </c>
      <c r="T103" s="187">
        <v>4.0872100000000007</v>
      </c>
      <c r="U103" s="194">
        <v>444720</v>
      </c>
      <c r="V103" s="194">
        <v>-15683.692454790003</v>
      </c>
      <c r="W103" s="195">
        <f t="shared" si="18"/>
        <v>-3.5266442828723696</v>
      </c>
      <c r="X103" s="194">
        <v>-68.014089159999997</v>
      </c>
      <c r="Y103" s="195">
        <f t="shared" si="19"/>
        <v>-1.5293687974455837E-2</v>
      </c>
      <c r="Z103" s="194">
        <v>-16866.322319310002</v>
      </c>
      <c r="AA103" s="195">
        <f t="shared" si="20"/>
        <v>-3.7925711277455485</v>
      </c>
      <c r="AB103" s="194">
        <v>-1114.6157753599987</v>
      </c>
      <c r="AC103" s="195">
        <f t="shared" si="21"/>
        <v>-0.25063315689872251</v>
      </c>
      <c r="AD103" s="194">
        <v>380738</v>
      </c>
      <c r="AE103" s="194">
        <v>19.335665028182969</v>
      </c>
      <c r="AF103" s="194"/>
      <c r="AG103" s="194"/>
      <c r="AH103" s="194">
        <v>20824.051273319998</v>
      </c>
      <c r="AI103" s="195">
        <f t="shared" si="13"/>
        <v>4.6825083813005932</v>
      </c>
      <c r="AJ103" s="20"/>
      <c r="AK103" s="26"/>
      <c r="AL103" s="5"/>
      <c r="AM103" s="26"/>
      <c r="AN103" s="26"/>
      <c r="AO103" s="26"/>
      <c r="AP103" s="26"/>
      <c r="AQ103" s="26"/>
      <c r="AR103" s="25"/>
      <c r="AS103" s="25"/>
      <c r="AT103" s="25"/>
      <c r="AU103" s="26"/>
      <c r="AV103" s="26"/>
      <c r="AW103" s="26"/>
      <c r="AX103" s="25"/>
      <c r="AY103" s="26"/>
      <c r="AZ103" s="22"/>
      <c r="BA103" s="24"/>
      <c r="BB103" s="21"/>
      <c r="BC103" s="24"/>
      <c r="BD103" s="22"/>
      <c r="BE103" s="24"/>
      <c r="BF103" s="24"/>
      <c r="BG103" s="24"/>
      <c r="BH103" s="22"/>
      <c r="BI103" s="24"/>
      <c r="BJ103" s="24"/>
      <c r="BK103" s="24"/>
      <c r="BL103" s="21"/>
      <c r="BM103" s="24"/>
      <c r="BN103" s="27"/>
      <c r="BO103" s="27"/>
      <c r="BP103" s="27"/>
      <c r="BQ103" s="27"/>
      <c r="BR103" s="23">
        <f>'BCB-DBGG-trimestral'!B45</f>
        <v>5246734.2785291495</v>
      </c>
      <c r="BS103" s="29">
        <f>'BCB-DBGG-trimestral'!C45</f>
        <v>75.990304902440968</v>
      </c>
    </row>
    <row r="104" spans="2:83">
      <c r="B104" s="30" t="s">
        <v>181</v>
      </c>
      <c r="C104" s="192">
        <v>1820103.240321364</v>
      </c>
      <c r="D104" s="190"/>
      <c r="E104" s="190"/>
      <c r="F104" s="191"/>
      <c r="G104" s="190">
        <v>-0.15592721657945452</v>
      </c>
      <c r="H104" s="193">
        <v>397398.29212137067</v>
      </c>
      <c r="I104" s="191">
        <f t="shared" si="14"/>
        <v>21.833832461679734</v>
      </c>
      <c r="J104" s="192">
        <v>1194144.9987176163</v>
      </c>
      <c r="K104" s="191">
        <f t="shared" si="15"/>
        <v>65.608640887138563</v>
      </c>
      <c r="L104" s="193">
        <v>268064.86152535857</v>
      </c>
      <c r="M104" s="191">
        <f t="shared" si="16"/>
        <v>14.728003092727205</v>
      </c>
      <c r="N104" s="192">
        <v>275786.4329123575</v>
      </c>
      <c r="O104" s="191">
        <f t="shared" si="17"/>
        <v>15.152241191750401</v>
      </c>
      <c r="P104" s="185">
        <v>0.38930647158042575</v>
      </c>
      <c r="Q104" s="18">
        <v>6.5</v>
      </c>
      <c r="R104" s="18">
        <v>22.998778799825104</v>
      </c>
      <c r="S104" s="18">
        <v>5.95</v>
      </c>
      <c r="T104" s="187">
        <v>3.8907800000000003</v>
      </c>
      <c r="U104" s="194">
        <v>476142</v>
      </c>
      <c r="V104" s="194">
        <v>-14153.443481024999</v>
      </c>
      <c r="W104" s="195">
        <f t="shared" si="18"/>
        <v>-2.9725257341349844</v>
      </c>
      <c r="X104" s="194">
        <v>-285.94258659000002</v>
      </c>
      <c r="Y104" s="195">
        <f t="shared" si="19"/>
        <v>-6.0054056686870722E-2</v>
      </c>
      <c r="Z104" s="194">
        <v>-15284.593515214996</v>
      </c>
      <c r="AA104" s="195">
        <f t="shared" si="20"/>
        <v>-3.2100914255022648</v>
      </c>
      <c r="AB104" s="194">
        <v>-845.20744759999695</v>
      </c>
      <c r="AC104" s="195">
        <f t="shared" si="21"/>
        <v>-0.17751163468040981</v>
      </c>
      <c r="AD104" s="194">
        <v>374715</v>
      </c>
      <c r="AE104" s="194">
        <v>19.554976403980142</v>
      </c>
      <c r="AF104" s="194"/>
      <c r="AG104" s="194"/>
      <c r="AH104" s="194">
        <v>25791.41657732</v>
      </c>
      <c r="AI104" s="195">
        <f t="shared" si="13"/>
        <v>5.4167489062758589</v>
      </c>
      <c r="AJ104" s="20"/>
      <c r="AK104" s="26"/>
      <c r="AL104" s="5"/>
      <c r="AM104" s="26"/>
      <c r="AN104" s="26"/>
      <c r="AO104" s="26"/>
      <c r="AP104" s="26"/>
      <c r="AQ104" s="26"/>
      <c r="AR104" s="25"/>
      <c r="AS104" s="25"/>
      <c r="AT104" s="25"/>
      <c r="AU104" s="26"/>
      <c r="AV104" s="26"/>
      <c r="AW104" s="26"/>
      <c r="AX104" s="25"/>
      <c r="AY104" s="26"/>
      <c r="AZ104" s="22"/>
      <c r="BA104" s="24"/>
      <c r="BB104" s="21"/>
      <c r="BC104" s="24"/>
      <c r="BD104" s="22"/>
      <c r="BE104" s="24"/>
      <c r="BF104" s="24"/>
      <c r="BG104" s="24"/>
      <c r="BH104" s="22"/>
      <c r="BI104" s="24"/>
      <c r="BJ104" s="24"/>
      <c r="BK104" s="24"/>
      <c r="BL104" s="21"/>
      <c r="BM104" s="24"/>
      <c r="BN104" s="27"/>
      <c r="BO104" s="27"/>
      <c r="BP104" s="27"/>
      <c r="BQ104" s="27"/>
      <c r="BR104" s="23">
        <f>'BCB-DBGG-trimestral'!B46</f>
        <v>5271982.2585680895</v>
      </c>
      <c r="BS104" s="29">
        <f>'BCB-DBGG-trimestral'!C46</f>
        <v>75.269504977817405</v>
      </c>
    </row>
    <row r="105" spans="2:83">
      <c r="B105" s="30" t="s">
        <v>174</v>
      </c>
      <c r="C105" s="192">
        <v>1757553.5239880888</v>
      </c>
      <c r="D105" s="190"/>
      <c r="E105" s="190"/>
      <c r="F105" s="191"/>
      <c r="G105" s="190">
        <v>0.24784529905306218</v>
      </c>
      <c r="H105" s="193">
        <v>332853.78086359397</v>
      </c>
      <c r="I105" s="191">
        <f t="shared" si="14"/>
        <v>18.93847193389086</v>
      </c>
      <c r="J105" s="192">
        <v>1155353.1731350874</v>
      </c>
      <c r="K105" s="191">
        <f t="shared" si="15"/>
        <v>65.736443150445837</v>
      </c>
      <c r="L105" s="193">
        <v>244461.68949331457</v>
      </c>
      <c r="M105" s="191">
        <f t="shared" si="16"/>
        <v>13.909203114258689</v>
      </c>
      <c r="N105" s="192">
        <v>230569.16291678476</v>
      </c>
      <c r="O105" s="191">
        <f t="shared" si="17"/>
        <v>13.118756258051084</v>
      </c>
      <c r="P105" s="185">
        <v>1.5068785890315155</v>
      </c>
      <c r="Q105" s="18">
        <v>6.5</v>
      </c>
      <c r="R105" s="18">
        <v>25.045260462531481</v>
      </c>
      <c r="S105" s="18">
        <v>6.11</v>
      </c>
      <c r="T105" s="187">
        <v>3.8600599999999998</v>
      </c>
      <c r="U105" s="194">
        <v>465826</v>
      </c>
      <c r="V105" s="194">
        <v>-15645.94882268</v>
      </c>
      <c r="W105" s="195">
        <f t="shared" si="18"/>
        <v>-3.3587538743393459</v>
      </c>
      <c r="X105" s="194">
        <v>-313.31754195999997</v>
      </c>
      <c r="Y105" s="195">
        <f t="shared" si="19"/>
        <v>-6.7260638513092857E-2</v>
      </c>
      <c r="Z105" s="194">
        <v>-14020.671847159994</v>
      </c>
      <c r="AA105" s="195">
        <f t="shared" si="20"/>
        <v>-3.0098517144083829</v>
      </c>
      <c r="AB105" s="194">
        <v>1938.5945174800054</v>
      </c>
      <c r="AC105" s="195">
        <f t="shared" si="21"/>
        <v>0.41616279844405535</v>
      </c>
      <c r="AD105" s="194">
        <v>384165</v>
      </c>
      <c r="AE105" s="194">
        <v>20.589739137145944</v>
      </c>
      <c r="AF105" s="194"/>
      <c r="AG105" s="194"/>
      <c r="AH105" s="194">
        <v>13047.369326079999</v>
      </c>
      <c r="AI105" s="195">
        <f t="shared" si="13"/>
        <v>2.8009104957816864</v>
      </c>
      <c r="AJ105" s="20"/>
      <c r="AK105" s="26"/>
      <c r="AL105" s="5"/>
      <c r="AM105" s="26"/>
      <c r="AN105" s="26"/>
      <c r="AO105" s="26"/>
      <c r="AP105" s="26"/>
      <c r="AQ105" s="26"/>
      <c r="AR105" s="25"/>
      <c r="AS105" s="25"/>
      <c r="AT105" s="25"/>
      <c r="AU105" s="26"/>
      <c r="AV105" s="26"/>
      <c r="AW105" s="26"/>
      <c r="AX105" s="25"/>
      <c r="AY105" s="26"/>
      <c r="AZ105" s="22"/>
      <c r="BA105" s="24"/>
      <c r="BB105" s="21"/>
      <c r="BC105" s="24"/>
      <c r="BD105" s="22"/>
      <c r="BE105" s="24"/>
      <c r="BF105" s="24"/>
      <c r="BG105" s="24"/>
      <c r="BH105" s="22"/>
      <c r="BI105" s="24"/>
      <c r="BJ105" s="24"/>
      <c r="BK105" s="24"/>
      <c r="BL105" s="21"/>
      <c r="BM105" s="24"/>
      <c r="BN105" s="27"/>
      <c r="BO105" s="27"/>
      <c r="BP105" s="27"/>
      <c r="BQ105" s="27"/>
      <c r="BR105" s="23">
        <f>'BCB-DBGG-trimestral'!B47</f>
        <v>5430958.9971743394</v>
      </c>
      <c r="BS105" s="29">
        <f>'BCB-DBGG-trimestral'!C47</f>
        <v>76.712670283688553</v>
      </c>
    </row>
    <row r="106" spans="2:83">
      <c r="B106" s="30" t="s">
        <v>175</v>
      </c>
      <c r="C106" s="192">
        <v>1826761.1956374575</v>
      </c>
      <c r="D106" s="190"/>
      <c r="E106" s="190"/>
      <c r="F106" s="191"/>
      <c r="G106" s="190">
        <v>0.63144093507740973</v>
      </c>
      <c r="H106" s="193">
        <v>367453.10754923651</v>
      </c>
      <c r="I106" s="191">
        <f t="shared" si="14"/>
        <v>20.115005093537246</v>
      </c>
      <c r="J106" s="192">
        <v>1172600.6107784051</v>
      </c>
      <c r="K106" s="191">
        <f t="shared" si="15"/>
        <v>64.190142290011821</v>
      </c>
      <c r="L106" s="193">
        <v>259391.49051854567</v>
      </c>
      <c r="M106" s="191">
        <f t="shared" si="16"/>
        <v>14.199529261843649</v>
      </c>
      <c r="N106" s="192">
        <v>263402.9541097355</v>
      </c>
      <c r="O106" s="191">
        <f t="shared" si="17"/>
        <v>14.419123569012518</v>
      </c>
      <c r="P106" s="185">
        <v>0.71077186347773136</v>
      </c>
      <c r="Q106" s="18">
        <v>6.5</v>
      </c>
      <c r="R106" s="18">
        <v>24.89805460062351</v>
      </c>
      <c r="S106" s="18">
        <v>6.2</v>
      </c>
      <c r="T106" s="187">
        <v>3.85236</v>
      </c>
      <c r="U106" s="194">
        <v>466605</v>
      </c>
      <c r="V106" s="194">
        <v>-8784.0769951099992</v>
      </c>
      <c r="W106" s="195">
        <f t="shared" si="18"/>
        <v>-1.8825509789029262</v>
      </c>
      <c r="X106" s="194">
        <v>-734.62701695999999</v>
      </c>
      <c r="Y106" s="195">
        <f t="shared" si="19"/>
        <v>-0.15744087975053847</v>
      </c>
      <c r="Z106" s="194">
        <v>-13045.451768409996</v>
      </c>
      <c r="AA106" s="195">
        <f t="shared" si="20"/>
        <v>-2.7958233984655108</v>
      </c>
      <c r="AB106" s="194">
        <v>-3526.7477563399962</v>
      </c>
      <c r="AC106" s="195">
        <f t="shared" si="21"/>
        <v>-0.75583153981204576</v>
      </c>
      <c r="AD106" s="194">
        <v>388092</v>
      </c>
      <c r="AE106" s="194">
        <v>20.940671550585904</v>
      </c>
      <c r="AF106" s="194"/>
      <c r="AG106" s="194"/>
      <c r="AH106" s="194">
        <v>14024.64561331</v>
      </c>
      <c r="AI106" s="195">
        <f t="shared" si="13"/>
        <v>3.0056783817811636</v>
      </c>
      <c r="AJ106" s="20"/>
      <c r="AK106" s="26"/>
      <c r="AL106" s="5"/>
      <c r="AM106" s="26"/>
      <c r="AN106" s="26"/>
      <c r="AO106" s="26"/>
      <c r="AP106" s="26"/>
      <c r="AQ106" s="26"/>
      <c r="AR106" s="25"/>
      <c r="AS106" s="25"/>
      <c r="AT106" s="25"/>
      <c r="AU106" s="26"/>
      <c r="AV106" s="26"/>
      <c r="AW106" s="26"/>
      <c r="AX106" s="25"/>
      <c r="AY106" s="26"/>
      <c r="AZ106" s="22"/>
      <c r="BA106" s="24"/>
      <c r="BB106" s="21"/>
      <c r="BC106" s="24"/>
      <c r="BD106" s="22"/>
      <c r="BE106" s="24"/>
      <c r="BF106" s="24"/>
      <c r="BG106" s="24"/>
      <c r="BH106" s="22"/>
      <c r="BI106" s="24"/>
      <c r="BJ106" s="24"/>
      <c r="BK106" s="24"/>
      <c r="BL106" s="21"/>
      <c r="BM106" s="24"/>
      <c r="BN106" s="27"/>
      <c r="BO106" s="27"/>
      <c r="BP106" s="27"/>
      <c r="BQ106" s="27"/>
      <c r="BR106" s="23">
        <f>'BCB-DBGG-trimestral'!B48</f>
        <v>5498994.831259721</v>
      </c>
      <c r="BS106" s="29">
        <f>'BCB-DBGG-trimestral'!C48</f>
        <v>76.670175837397565</v>
      </c>
    </row>
    <row r="107" spans="2:83">
      <c r="B107" s="30" t="s">
        <v>176</v>
      </c>
      <c r="C107" s="192">
        <v>1880610.2415773789</v>
      </c>
      <c r="D107" s="190"/>
      <c r="E107" s="190"/>
      <c r="F107" s="191"/>
      <c r="G107" s="190">
        <v>-4.3086464493569121E-2</v>
      </c>
      <c r="H107" s="193">
        <v>357183.64103262825</v>
      </c>
      <c r="I107" s="191">
        <f t="shared" si="14"/>
        <v>18.992964790675458</v>
      </c>
      <c r="J107" s="192">
        <v>1216014.2901839844</v>
      </c>
      <c r="K107" s="191">
        <f t="shared" si="15"/>
        <v>64.660622562814581</v>
      </c>
      <c r="L107" s="193">
        <v>300767.07600731304</v>
      </c>
      <c r="M107" s="191">
        <f t="shared" si="16"/>
        <v>15.993057431987712</v>
      </c>
      <c r="N107" s="192">
        <v>278698.88733932184</v>
      </c>
      <c r="O107" s="191">
        <f t="shared" si="17"/>
        <v>14.819598509979432</v>
      </c>
      <c r="P107" s="185">
        <v>0.26024735964956847</v>
      </c>
      <c r="Q107" s="18">
        <v>5.5</v>
      </c>
      <c r="R107" s="18">
        <v>24.01815021066389</v>
      </c>
      <c r="S107" s="18">
        <v>4.93</v>
      </c>
      <c r="T107" s="187">
        <v>4.1503200000000007</v>
      </c>
      <c r="U107" s="194">
        <v>474171</v>
      </c>
      <c r="V107" s="194">
        <v>-21378.232419930009</v>
      </c>
      <c r="W107" s="195">
        <f t="shared" si="18"/>
        <v>-4.5085491141233875</v>
      </c>
      <c r="X107" s="194">
        <v>-561.91290486000003</v>
      </c>
      <c r="Y107" s="195">
        <f t="shared" si="19"/>
        <v>-0.11850427479959762</v>
      </c>
      <c r="Z107" s="194">
        <v>-24497.432988200002</v>
      </c>
      <c r="AA107" s="195">
        <f t="shared" si="20"/>
        <v>-5.1663709902545705</v>
      </c>
      <c r="AB107" s="194">
        <v>-2557.2876634099903</v>
      </c>
      <c r="AC107" s="195">
        <f t="shared" si="21"/>
        <v>-0.53931760133158502</v>
      </c>
      <c r="AD107" s="194">
        <v>376434</v>
      </c>
      <c r="AE107" s="194">
        <v>19.993902516752144</v>
      </c>
      <c r="AF107" s="194"/>
      <c r="AG107" s="194"/>
      <c r="AH107" s="194">
        <v>22322.49264411</v>
      </c>
      <c r="AI107" s="195">
        <f t="shared" si="13"/>
        <v>4.7076882905344268</v>
      </c>
      <c r="AJ107" s="20"/>
      <c r="AK107" s="26"/>
      <c r="AL107" s="5"/>
      <c r="AM107" s="26"/>
      <c r="AN107" s="26"/>
      <c r="AO107" s="26"/>
      <c r="AP107" s="26"/>
      <c r="AQ107" s="26"/>
      <c r="AR107" s="25"/>
      <c r="AS107" s="25"/>
      <c r="AT107" s="25"/>
      <c r="AU107" s="26"/>
      <c r="AV107" s="26"/>
      <c r="AW107" s="26"/>
      <c r="AX107" s="25"/>
      <c r="AY107" s="26"/>
      <c r="AZ107" s="22"/>
      <c r="BA107" s="24"/>
      <c r="BB107" s="21"/>
      <c r="BC107" s="24"/>
      <c r="BD107" s="22"/>
      <c r="BE107" s="24"/>
      <c r="BF107" s="24"/>
      <c r="BG107" s="24"/>
      <c r="BH107" s="22"/>
      <c r="BI107" s="24"/>
      <c r="BJ107" s="24"/>
      <c r="BK107" s="24"/>
      <c r="BL107" s="21"/>
      <c r="BM107" s="24"/>
      <c r="BN107" s="27"/>
      <c r="BO107" s="27"/>
      <c r="BP107" s="27"/>
      <c r="BQ107" s="27"/>
      <c r="BR107" s="23">
        <f>'BCB-DBGG-trimestral'!B49</f>
        <v>5580374.8461270286</v>
      </c>
      <c r="BS107" s="29">
        <f>'BCB-DBGG-trimestral'!C49</f>
        <v>76.600593597694143</v>
      </c>
    </row>
    <row r="108" spans="2:83">
      <c r="B108" s="30" t="s">
        <v>177</v>
      </c>
      <c r="C108" s="192">
        <v>1924206.0382503574</v>
      </c>
      <c r="D108" s="190"/>
      <c r="E108" s="190"/>
      <c r="F108" s="191"/>
      <c r="G108" s="190">
        <v>0.82460979294511905</v>
      </c>
      <c r="H108" s="193">
        <v>419122.47024755692</v>
      </c>
      <c r="I108" s="191">
        <f t="shared" si="14"/>
        <v>21.781579618607616</v>
      </c>
      <c r="J108" s="192">
        <v>1269610.9265643621</v>
      </c>
      <c r="K108" s="191">
        <f t="shared" si="15"/>
        <v>65.981028087761032</v>
      </c>
      <c r="L108" s="193">
        <v>286557.74409220833</v>
      </c>
      <c r="M108" s="191">
        <f t="shared" si="16"/>
        <v>14.892258853566931</v>
      </c>
      <c r="N108" s="192">
        <v>270889.99559738609</v>
      </c>
      <c r="O108" s="191">
        <f t="shared" si="17"/>
        <v>14.078014007465701</v>
      </c>
      <c r="P108" s="185">
        <v>1.7676516496296699</v>
      </c>
      <c r="Q108" s="18">
        <v>4.5</v>
      </c>
      <c r="R108" s="18">
        <v>22.708943813753034</v>
      </c>
      <c r="S108" s="18">
        <v>5.29</v>
      </c>
      <c r="T108" s="187">
        <v>4.0597500000000002</v>
      </c>
      <c r="U108" s="194">
        <v>466198</v>
      </c>
      <c r="V108" s="194">
        <v>-18151.252927314996</v>
      </c>
      <c r="W108" s="195">
        <f t="shared" si="18"/>
        <v>-3.8934643493354746</v>
      </c>
      <c r="X108" s="194">
        <v>-1041.4630232300001</v>
      </c>
      <c r="Y108" s="195">
        <f t="shared" si="19"/>
        <v>-0.22339500024238629</v>
      </c>
      <c r="Z108" s="194">
        <v>-15783.649831174997</v>
      </c>
      <c r="AA108" s="195">
        <f t="shared" si="20"/>
        <v>-3.3856107986681616</v>
      </c>
      <c r="AB108" s="194">
        <v>3409.0661193699993</v>
      </c>
      <c r="AC108" s="195">
        <f t="shared" si="21"/>
        <v>0.7312485509096992</v>
      </c>
      <c r="AD108" s="194">
        <v>356884</v>
      </c>
      <c r="AE108" s="194">
        <v>19.056172575822298</v>
      </c>
      <c r="AF108" s="194"/>
      <c r="AG108" s="194"/>
      <c r="AH108" s="194">
        <v>19779.904169950001</v>
      </c>
      <c r="AI108" s="195">
        <f t="shared" si="13"/>
        <v>4.2428118889291673</v>
      </c>
      <c r="AJ108" s="20"/>
      <c r="AK108" s="26"/>
      <c r="AL108" s="5"/>
      <c r="AM108" s="26"/>
      <c r="AN108" s="26"/>
      <c r="AO108" s="26"/>
      <c r="AP108" s="26"/>
      <c r="AQ108" s="26"/>
      <c r="AR108" s="25"/>
      <c r="AS108" s="25"/>
      <c r="AT108" s="25"/>
      <c r="AU108" s="26"/>
      <c r="AV108" s="26"/>
      <c r="AW108" s="26"/>
      <c r="AX108" s="25"/>
      <c r="AY108" s="26"/>
      <c r="AZ108" s="22"/>
      <c r="BA108" s="24"/>
      <c r="BB108" s="21"/>
      <c r="BC108" s="24"/>
      <c r="BD108" s="22"/>
      <c r="BE108" s="24"/>
      <c r="BF108" s="24"/>
      <c r="BG108" s="24"/>
      <c r="BH108" s="22"/>
      <c r="BI108" s="24"/>
      <c r="BJ108" s="24"/>
      <c r="BK108" s="24"/>
      <c r="BL108" s="21"/>
      <c r="BM108" s="24"/>
      <c r="BN108" s="27"/>
      <c r="BO108" s="27"/>
      <c r="BP108" s="27"/>
      <c r="BQ108" s="27"/>
      <c r="BR108" s="23">
        <f>'BCB-DBGG-trimestral'!B50</f>
        <v>5500104.1565490607</v>
      </c>
      <c r="BS108" s="29">
        <f>'BCB-DBGG-trimestral'!C50</f>
        <v>74.435060861094655</v>
      </c>
    </row>
    <row r="109" spans="2:83">
      <c r="B109" s="30" t="s">
        <v>170</v>
      </c>
      <c r="C109" s="192">
        <v>1868094.5286348641</v>
      </c>
      <c r="D109" s="190"/>
      <c r="E109" s="190"/>
      <c r="F109" s="191"/>
      <c r="G109" s="190">
        <v>-2.2191597285567854</v>
      </c>
      <c r="H109" s="193">
        <v>344791.83964405261</v>
      </c>
      <c r="I109" s="191">
        <f t="shared" si="14"/>
        <v>18.456873266258857</v>
      </c>
      <c r="J109" s="192">
        <v>1211460.4988702312</v>
      </c>
      <c r="K109" s="191">
        <f t="shared" si="15"/>
        <v>64.850064078691062</v>
      </c>
      <c r="L109" s="193">
        <v>298667.42694759602</v>
      </c>
      <c r="M109" s="191">
        <f t="shared" si="16"/>
        <v>15.987811235968415</v>
      </c>
      <c r="N109" s="192">
        <v>259852.60280584768</v>
      </c>
      <c r="O109" s="191">
        <f t="shared" si="17"/>
        <v>13.910035002122648</v>
      </c>
      <c r="P109" s="185">
        <v>0.53080212396034199</v>
      </c>
      <c r="Q109" s="18">
        <v>3.75</v>
      </c>
      <c r="R109" s="18">
        <v>22.708943813753034</v>
      </c>
      <c r="S109" s="18">
        <v>5.47</v>
      </c>
      <c r="T109" s="187">
        <v>5.0972299999999997</v>
      </c>
      <c r="U109" s="194">
        <v>417787</v>
      </c>
      <c r="V109" s="194">
        <v>-19005.923456809996</v>
      </c>
      <c r="W109" s="195">
        <f t="shared" si="18"/>
        <v>-4.549189768185701</v>
      </c>
      <c r="X109" s="194">
        <v>-635.25838424999995</v>
      </c>
      <c r="Y109" s="195">
        <f t="shared" si="19"/>
        <v>-0.15205317165206192</v>
      </c>
      <c r="Z109" s="194">
        <v>-18976.212028690003</v>
      </c>
      <c r="AA109" s="195">
        <f t="shared" si="20"/>
        <v>-4.5420781471635072</v>
      </c>
      <c r="AB109" s="194">
        <v>664.96981236999454</v>
      </c>
      <c r="AC109" s="195">
        <f t="shared" si="21"/>
        <v>0.15916479267425615</v>
      </c>
      <c r="AD109" s="194">
        <v>343165</v>
      </c>
      <c r="AE109" s="194">
        <v>18.80602446018958</v>
      </c>
      <c r="AF109" s="194"/>
      <c r="AG109" s="194"/>
      <c r="AH109" s="194">
        <v>13104.472706730001</v>
      </c>
      <c r="AI109" s="195">
        <f t="shared" si="13"/>
        <v>3.1366396529164384</v>
      </c>
      <c r="AJ109" s="20"/>
      <c r="AK109" s="26"/>
      <c r="AL109" s="5"/>
      <c r="AM109" s="26"/>
      <c r="AN109" s="26"/>
      <c r="AO109" s="26"/>
      <c r="AP109" s="26"/>
      <c r="AQ109" s="26"/>
      <c r="AR109" s="25"/>
      <c r="AS109" s="25"/>
      <c r="AT109" s="25"/>
      <c r="AU109" s="26"/>
      <c r="AV109" s="26"/>
      <c r="AW109" s="26"/>
      <c r="AX109" s="25"/>
      <c r="AY109" s="26"/>
      <c r="AZ109" s="22"/>
      <c r="BA109" s="24"/>
      <c r="BB109" s="21"/>
      <c r="BC109" s="24"/>
      <c r="BD109" s="22"/>
      <c r="BE109" s="24"/>
      <c r="BF109" s="24"/>
      <c r="BG109" s="24"/>
      <c r="BH109" s="22"/>
      <c r="BI109" s="24"/>
      <c r="BJ109" s="24"/>
      <c r="BK109" s="24"/>
      <c r="BL109" s="21"/>
      <c r="BM109" s="24"/>
      <c r="BN109" s="27"/>
      <c r="BO109" s="27"/>
      <c r="BP109" s="27"/>
      <c r="BQ109" s="27"/>
      <c r="BR109" s="23">
        <f>'BCB-DBGG-trimestral'!B51</f>
        <v>5758363.3280862803</v>
      </c>
      <c r="BS109" s="29">
        <f>'BCB-DBGG-trimestral'!C51</f>
        <v>76.781535578331841</v>
      </c>
    </row>
    <row r="110" spans="2:83">
      <c r="B110" s="30" t="s">
        <v>171</v>
      </c>
      <c r="C110" s="192">
        <v>1752723.6082571386</v>
      </c>
      <c r="D110" s="190"/>
      <c r="E110" s="190"/>
      <c r="F110" s="191"/>
      <c r="G110" s="190">
        <v>-8.8162567786459363</v>
      </c>
      <c r="H110" s="193">
        <v>381980.63724206341</v>
      </c>
      <c r="I110" s="191">
        <f t="shared" si="14"/>
        <v>21.793546651767574</v>
      </c>
      <c r="J110" s="192">
        <v>1066603.5214979774</v>
      </c>
      <c r="K110" s="191">
        <f t="shared" si="15"/>
        <v>60.854062584264469</v>
      </c>
      <c r="L110" s="193">
        <v>274297.04622288456</v>
      </c>
      <c r="M110" s="191">
        <f t="shared" si="16"/>
        <v>15.649760460272352</v>
      </c>
      <c r="N110" s="192">
        <v>322288.82638659124</v>
      </c>
      <c r="O110" s="191">
        <f t="shared" si="17"/>
        <v>18.387886422495708</v>
      </c>
      <c r="P110" s="185">
        <v>-0.4305888203960393</v>
      </c>
      <c r="Q110" s="18">
        <v>2.25</v>
      </c>
      <c r="R110" s="18">
        <v>19.138444211217042</v>
      </c>
      <c r="S110" s="18">
        <v>4.8099999999999996</v>
      </c>
      <c r="T110" s="187">
        <v>5.3289099999999996</v>
      </c>
      <c r="U110" s="194">
        <v>322853</v>
      </c>
      <c r="V110" s="194">
        <v>5700.5979712250064</v>
      </c>
      <c r="W110" s="195">
        <f t="shared" si="18"/>
        <v>1.7656945951330809</v>
      </c>
      <c r="X110" s="194">
        <v>-265.24049635</v>
      </c>
      <c r="Y110" s="195">
        <f t="shared" si="19"/>
        <v>-8.2155190241379197E-2</v>
      </c>
      <c r="Z110" s="194">
        <v>8477.5164248849997</v>
      </c>
      <c r="AA110" s="195">
        <f t="shared" si="20"/>
        <v>2.6258131176990767</v>
      </c>
      <c r="AB110" s="194">
        <v>3042.1589500099931</v>
      </c>
      <c r="AC110" s="195">
        <f t="shared" si="21"/>
        <v>0.9422737128073746</v>
      </c>
      <c r="AD110" s="194">
        <v>348781</v>
      </c>
      <c r="AE110" s="194">
        <v>20.748312471854703</v>
      </c>
      <c r="AF110" s="194"/>
      <c r="AG110" s="194"/>
      <c r="AH110" s="194">
        <v>8393.6359988900003</v>
      </c>
      <c r="AI110" s="195">
        <f t="shared" si="13"/>
        <v>2.5998321213958056</v>
      </c>
      <c r="AJ110" s="20"/>
      <c r="AK110" s="26"/>
      <c r="AL110" s="5"/>
      <c r="AM110" s="26"/>
      <c r="AN110" s="26"/>
      <c r="AO110" s="26"/>
      <c r="AP110" s="26"/>
      <c r="AQ110" s="26"/>
      <c r="AR110" s="25"/>
      <c r="AS110" s="25"/>
      <c r="AT110" s="25"/>
      <c r="AU110" s="26"/>
      <c r="AV110" s="26"/>
      <c r="AW110" s="26"/>
      <c r="AX110" s="25"/>
      <c r="AY110" s="26"/>
      <c r="AZ110" s="22"/>
      <c r="BA110" s="24"/>
      <c r="BB110" s="21"/>
      <c r="BC110" s="24"/>
      <c r="BD110" s="22"/>
      <c r="BE110" s="24"/>
      <c r="BF110" s="24"/>
      <c r="BG110" s="24"/>
      <c r="BH110" s="22"/>
      <c r="BI110" s="24"/>
      <c r="BJ110" s="24"/>
      <c r="BK110" s="24"/>
      <c r="BL110" s="21"/>
      <c r="BM110" s="24"/>
      <c r="BN110" s="27"/>
      <c r="BO110" s="27"/>
      <c r="BP110" s="27"/>
      <c r="BQ110" s="27"/>
      <c r="BR110" s="23">
        <f>'BCB-DBGG-trimestral'!B52</f>
        <v>6153523.8283626493</v>
      </c>
      <c r="BS110" s="29">
        <f>'BCB-DBGG-trimestral'!C52</f>
        <v>82.868661221824013</v>
      </c>
    </row>
    <row r="111" spans="2:83">
      <c r="B111" s="30" t="s">
        <v>172</v>
      </c>
      <c r="C111" s="192">
        <v>1929323.436994164</v>
      </c>
      <c r="D111" s="190"/>
      <c r="E111" s="190"/>
      <c r="F111" s="191"/>
      <c r="G111" s="190">
        <v>7.8705312049240694</v>
      </c>
      <c r="H111" s="193">
        <v>366835.97687620705</v>
      </c>
      <c r="I111" s="191">
        <f t="shared" si="14"/>
        <v>19.013710705123035</v>
      </c>
      <c r="J111" s="192">
        <v>1200311.0213862879</v>
      </c>
      <c r="K111" s="191">
        <f t="shared" si="15"/>
        <v>62.214090098669061</v>
      </c>
      <c r="L111" s="193">
        <v>283335.43871243711</v>
      </c>
      <c r="M111" s="191">
        <f t="shared" si="16"/>
        <v>14.685740777288562</v>
      </c>
      <c r="N111" s="192">
        <v>334870.80383798078</v>
      </c>
      <c r="O111" s="191">
        <f t="shared" si="17"/>
        <v>17.356903327712683</v>
      </c>
      <c r="P111" s="185">
        <v>1.2447750992402575</v>
      </c>
      <c r="Q111" s="18">
        <v>2</v>
      </c>
      <c r="R111" s="18">
        <v>18.016159228567098</v>
      </c>
      <c r="S111" s="18">
        <v>4.0999999999999996</v>
      </c>
      <c r="T111" s="187">
        <v>5.4973599999999996</v>
      </c>
      <c r="U111" s="194">
        <v>355300</v>
      </c>
      <c r="V111" s="194">
        <v>863.7376086499952</v>
      </c>
      <c r="W111" s="195">
        <f t="shared" si="18"/>
        <v>0.24310093122713064</v>
      </c>
      <c r="X111" s="194">
        <v>-892.40943945000004</v>
      </c>
      <c r="Y111" s="195">
        <f t="shared" si="19"/>
        <v>-0.25117068377427526</v>
      </c>
      <c r="Z111" s="194">
        <v>530.70260800999927</v>
      </c>
      <c r="AA111" s="195">
        <f t="shared" si="20"/>
        <v>0.14936746636926521</v>
      </c>
      <c r="AB111" s="194">
        <v>559.37443881000399</v>
      </c>
      <c r="AC111" s="195">
        <f t="shared" si="21"/>
        <v>0.1574372189164098</v>
      </c>
      <c r="AD111" s="194">
        <v>356606</v>
      </c>
      <c r="AE111" s="194">
        <v>22.828072807908136</v>
      </c>
      <c r="AF111" s="194"/>
      <c r="AG111" s="194"/>
      <c r="AH111" s="194">
        <v>9721.16472909</v>
      </c>
      <c r="AI111" s="195">
        <f t="shared" si="13"/>
        <v>2.7360441117618914</v>
      </c>
      <c r="AJ111" s="20"/>
      <c r="AK111" s="26"/>
      <c r="AL111" s="5"/>
      <c r="AM111" s="26"/>
      <c r="AN111" s="26"/>
      <c r="AO111" s="26"/>
      <c r="AP111" s="26"/>
      <c r="AQ111" s="26"/>
      <c r="AR111" s="25"/>
      <c r="AS111" s="25"/>
      <c r="AT111" s="25"/>
      <c r="AU111" s="26"/>
      <c r="AV111" s="26"/>
      <c r="AW111" s="26"/>
      <c r="AX111" s="25"/>
      <c r="AY111" s="26"/>
      <c r="AZ111" s="22"/>
      <c r="BA111" s="24"/>
      <c r="BB111" s="21"/>
      <c r="BC111" s="24"/>
      <c r="BD111" s="22"/>
      <c r="BE111" s="24"/>
      <c r="BF111" s="24"/>
      <c r="BG111" s="24"/>
      <c r="BH111" s="22"/>
      <c r="BI111" s="24"/>
      <c r="BJ111" s="24"/>
      <c r="BK111" s="24"/>
      <c r="BL111" s="21"/>
      <c r="BM111" s="24"/>
      <c r="BN111" s="27"/>
      <c r="BO111" s="27"/>
      <c r="BP111" s="27"/>
      <c r="BQ111" s="27"/>
      <c r="BR111" s="23">
        <f>'BCB-DBGG-trimestral'!B53</f>
        <v>6533712.3572713099</v>
      </c>
      <c r="BS111" s="29">
        <f>'BCB-DBGG-trimestral'!C53</f>
        <v>87.415152416274452</v>
      </c>
    </row>
    <row r="112" spans="2:83">
      <c r="B112" s="30" t="s">
        <v>173</v>
      </c>
      <c r="C112" s="192">
        <v>2059455.4266896574</v>
      </c>
      <c r="D112" s="190"/>
      <c r="E112" s="190"/>
      <c r="F112" s="191"/>
      <c r="G112" s="190">
        <v>3.7084083289882663</v>
      </c>
      <c r="H112" s="193">
        <v>438595.54610227898</v>
      </c>
      <c r="I112" s="191">
        <f t="shared" si="14"/>
        <v>21.296675830817659</v>
      </c>
      <c r="J112" s="192">
        <v>1326628.9571822588</v>
      </c>
      <c r="K112" s="191">
        <f t="shared" si="15"/>
        <v>64.416492825710989</v>
      </c>
      <c r="L112" s="193">
        <v>349709.08791258698</v>
      </c>
      <c r="M112" s="191">
        <f t="shared" si="16"/>
        <v>16.980658254629233</v>
      </c>
      <c r="N112" s="192">
        <v>335036.7672085074</v>
      </c>
      <c r="O112" s="191">
        <f t="shared" si="17"/>
        <v>16.268221339805411</v>
      </c>
      <c r="P112" s="185">
        <v>3.131450827653353</v>
      </c>
      <c r="Q112" s="18">
        <v>2</v>
      </c>
      <c r="R112" s="18">
        <v>18.29581824385642</v>
      </c>
      <c r="S112" s="18">
        <v>4.3499999999999996</v>
      </c>
      <c r="T112" s="187">
        <v>5.1644899999999998</v>
      </c>
      <c r="U112" s="194">
        <v>379589</v>
      </c>
      <c r="V112" s="194">
        <v>-11781.854600980001</v>
      </c>
      <c r="W112" s="195">
        <f t="shared" si="18"/>
        <v>-3.1038451064124621</v>
      </c>
      <c r="X112" s="194">
        <v>2639.7902623800001</v>
      </c>
      <c r="Y112" s="195">
        <f t="shared" si="19"/>
        <v>0.69543381456786157</v>
      </c>
      <c r="Z112" s="194">
        <v>-6292.2702792699984</v>
      </c>
      <c r="AA112" s="195">
        <f t="shared" si="20"/>
        <v>-1.6576534829170493</v>
      </c>
      <c r="AB112" s="194">
        <v>2849.7940593300023</v>
      </c>
      <c r="AC112" s="195">
        <f t="shared" si="21"/>
        <v>0.75075780892755117</v>
      </c>
      <c r="AD112" s="194">
        <v>355620</v>
      </c>
      <c r="AE112" s="194">
        <v>24.101186760815953</v>
      </c>
      <c r="AF112" s="194"/>
      <c r="AG112" s="194"/>
      <c r="AH112" s="194">
        <v>7050.8428727399987</v>
      </c>
      <c r="AI112" s="195">
        <f t="shared" si="13"/>
        <v>1.8574939929081187</v>
      </c>
      <c r="AJ112" s="20"/>
      <c r="AK112" s="26"/>
      <c r="AL112" s="5"/>
      <c r="AM112" s="26"/>
      <c r="AN112" s="26"/>
      <c r="AO112" s="26"/>
      <c r="AP112" s="26"/>
      <c r="AQ112" s="26"/>
      <c r="AR112" s="25"/>
      <c r="AS112" s="25"/>
      <c r="AT112" s="25"/>
      <c r="AU112" s="26"/>
      <c r="AV112" s="26"/>
      <c r="AW112" s="26"/>
      <c r="AX112" s="25"/>
      <c r="AY112" s="26"/>
      <c r="AZ112" s="22"/>
      <c r="BA112" s="24"/>
      <c r="BB112" s="21"/>
      <c r="BC112" s="24"/>
      <c r="BD112" s="22"/>
      <c r="BE112" s="24"/>
      <c r="BF112" s="24"/>
      <c r="BG112" s="24"/>
      <c r="BH112" s="22"/>
      <c r="BI112" s="24"/>
      <c r="BJ112" s="24"/>
      <c r="BK112" s="24"/>
      <c r="BL112" s="21"/>
      <c r="BM112" s="24"/>
      <c r="BN112" s="27"/>
      <c r="BO112" s="27"/>
      <c r="BP112" s="27"/>
      <c r="BQ112" s="27"/>
      <c r="BR112" s="23">
        <f>'BCB-DBGG-trimestral'!B54</f>
        <v>6615755.2038528007</v>
      </c>
      <c r="BS112" s="29">
        <f>'BCB-DBGG-trimestral'!C54</f>
        <v>86.939626413227728</v>
      </c>
    </row>
    <row r="113" spans="2:73">
      <c r="B113" s="30" t="s">
        <v>166</v>
      </c>
      <c r="C113" s="192">
        <v>2156670.095715207</v>
      </c>
      <c r="D113" s="190"/>
      <c r="E113" s="190"/>
      <c r="F113" s="191"/>
      <c r="G113" s="190">
        <v>0.96276090872835507</v>
      </c>
      <c r="H113" s="193">
        <v>359921.54179660277</v>
      </c>
      <c r="I113" s="191">
        <f t="shared" si="14"/>
        <v>16.688762111167659</v>
      </c>
      <c r="J113" s="192">
        <v>1287343.9791778252</v>
      </c>
      <c r="K113" s="191">
        <f t="shared" si="15"/>
        <v>59.691279706408174</v>
      </c>
      <c r="L113" s="193">
        <v>403836.37381243217</v>
      </c>
      <c r="M113" s="191">
        <f t="shared" si="16"/>
        <v>18.724995288558944</v>
      </c>
      <c r="N113" s="192">
        <v>355129.8756839243</v>
      </c>
      <c r="O113" s="191">
        <f t="shared" si="17"/>
        <v>16.466583201087793</v>
      </c>
      <c r="P113" s="185">
        <v>2.0524800425854011</v>
      </c>
      <c r="Q113" s="18">
        <v>2.75</v>
      </c>
      <c r="R113" s="18">
        <v>19.844831475233526</v>
      </c>
      <c r="S113" s="18">
        <v>5.49</v>
      </c>
      <c r="T113" s="187">
        <v>5.6227299999999998</v>
      </c>
      <c r="U113" s="194">
        <v>392361</v>
      </c>
      <c r="V113" s="194">
        <v>-20397.412979035005</v>
      </c>
      <c r="W113" s="195">
        <f t="shared" si="18"/>
        <v>-5.1986341606416042</v>
      </c>
      <c r="X113" s="194">
        <v>-1092.4031447100001</v>
      </c>
      <c r="Y113" s="195">
        <f t="shared" si="19"/>
        <v>-0.27841787147805214</v>
      </c>
      <c r="Z113" s="194">
        <v>-22511.417117785008</v>
      </c>
      <c r="AA113" s="195">
        <f t="shared" si="20"/>
        <v>-5.7374247485823027</v>
      </c>
      <c r="AB113" s="194">
        <v>-1021.6009940400022</v>
      </c>
      <c r="AC113" s="195">
        <f t="shared" si="21"/>
        <v>-0.26037271646264593</v>
      </c>
      <c r="AD113" s="194">
        <v>347413</v>
      </c>
      <c r="AE113" s="194">
        <v>23.957815410353607</v>
      </c>
      <c r="AF113" s="194"/>
      <c r="AG113" s="194"/>
      <c r="AH113" s="194">
        <v>21500.790462500001</v>
      </c>
      <c r="AI113" s="195">
        <f t="shared" si="13"/>
        <v>5.4798490325236209</v>
      </c>
      <c r="AJ113" s="20"/>
      <c r="AK113" s="26"/>
      <c r="AL113" s="5"/>
      <c r="AM113" s="26"/>
      <c r="AN113" s="26"/>
      <c r="AO113" s="26"/>
      <c r="AP113" s="26"/>
      <c r="AQ113" s="26"/>
      <c r="AR113" s="25"/>
      <c r="AS113" s="25"/>
      <c r="AT113" s="25"/>
      <c r="AU113" s="26"/>
      <c r="AV113" s="26"/>
      <c r="AW113" s="26"/>
      <c r="AX113" s="25"/>
      <c r="AY113" s="26"/>
      <c r="AZ113" s="22"/>
      <c r="BA113" s="24"/>
      <c r="BB113" s="21"/>
      <c r="BC113" s="24"/>
      <c r="BD113" s="22"/>
      <c r="BE113" s="24"/>
      <c r="BF113" s="24"/>
      <c r="BG113" s="24"/>
      <c r="BH113" s="22"/>
      <c r="BI113" s="24"/>
      <c r="BJ113" s="24"/>
      <c r="BK113" s="24"/>
      <c r="BL113" s="21"/>
      <c r="BM113" s="24"/>
      <c r="BN113" s="27"/>
      <c r="BO113" s="27"/>
      <c r="BP113" s="27"/>
      <c r="BQ113" s="27"/>
      <c r="BR113" s="23">
        <f>'BCB-DBGG-trimestral'!B55</f>
        <v>6721063.1416995199</v>
      </c>
      <c r="BS113" s="29">
        <f>'BCB-DBGG-trimestral'!C55</f>
        <v>85.096433182822238</v>
      </c>
    </row>
    <row r="114" spans="2:73">
      <c r="B114" s="30" t="s">
        <v>167</v>
      </c>
      <c r="C114" s="192">
        <v>2203638.7891146829</v>
      </c>
      <c r="D114" s="190"/>
      <c r="E114" s="190"/>
      <c r="F114" s="191"/>
      <c r="G114" s="190">
        <v>-0.61062724560796422</v>
      </c>
      <c r="H114" s="193">
        <v>411467.724863415</v>
      </c>
      <c r="I114" s="191">
        <f t="shared" si="14"/>
        <v>18.672194685260695</v>
      </c>
      <c r="J114" s="192">
        <v>1306326.7780382165</v>
      </c>
      <c r="K114" s="191">
        <f t="shared" si="15"/>
        <v>59.280440355791541</v>
      </c>
      <c r="L114" s="193">
        <v>387992.08081539016</v>
      </c>
      <c r="M114" s="191">
        <f t="shared" si="16"/>
        <v>17.606881977752213</v>
      </c>
      <c r="N114" s="192">
        <v>477524.10026113736</v>
      </c>
      <c r="O114" s="191">
        <f t="shared" si="17"/>
        <v>21.669799180335893</v>
      </c>
      <c r="P114" s="185">
        <v>1.6786731327713085</v>
      </c>
      <c r="Q114" s="18">
        <v>4.25</v>
      </c>
      <c r="R114" s="18">
        <v>19.986568804493388</v>
      </c>
      <c r="S114" s="18">
        <v>6.38</v>
      </c>
      <c r="T114" s="187">
        <v>4.9811800000000002</v>
      </c>
      <c r="U114" s="194">
        <v>416536</v>
      </c>
      <c r="V114" s="194">
        <v>9340.9101589549973</v>
      </c>
      <c r="W114" s="195">
        <f t="shared" si="18"/>
        <v>2.242521692952109</v>
      </c>
      <c r="X114" s="194">
        <v>-2013.2598478800001</v>
      </c>
      <c r="Y114" s="195">
        <f t="shared" si="19"/>
        <v>-0.48333393701384753</v>
      </c>
      <c r="Z114" s="194">
        <v>6138.089247105001</v>
      </c>
      <c r="AA114" s="195">
        <f t="shared" si="20"/>
        <v>1.4736035413757758</v>
      </c>
      <c r="AB114" s="194">
        <v>-1189.5610639699976</v>
      </c>
      <c r="AC114" s="195">
        <f t="shared" si="21"/>
        <v>-0.28558421456248617</v>
      </c>
      <c r="AD114" s="194">
        <v>352486</v>
      </c>
      <c r="AE114" s="194">
        <v>22.832568762768933</v>
      </c>
      <c r="AF114" s="194"/>
      <c r="AG114" s="194"/>
      <c r="AH114" s="194">
        <v>5260.1968480200012</v>
      </c>
      <c r="AI114" s="195">
        <f t="shared" si="13"/>
        <v>1.2628432711746407</v>
      </c>
      <c r="AJ114" s="20"/>
      <c r="AK114" s="26"/>
      <c r="AL114" s="5"/>
      <c r="AM114" s="26"/>
      <c r="AN114" s="26"/>
      <c r="AO114" s="26"/>
      <c r="AP114" s="26"/>
      <c r="AQ114" s="26"/>
      <c r="AR114" s="25"/>
      <c r="AS114" s="25"/>
      <c r="AT114" s="25"/>
      <c r="AU114" s="26"/>
      <c r="AV114" s="26"/>
      <c r="AW114" s="26"/>
      <c r="AX114" s="25"/>
      <c r="AY114" s="26"/>
      <c r="AZ114" s="22"/>
      <c r="BA114" s="24"/>
      <c r="BB114" s="21"/>
      <c r="BC114" s="24"/>
      <c r="BD114" s="22"/>
      <c r="BE114" s="24"/>
      <c r="BF114" s="24"/>
      <c r="BG114" s="24"/>
      <c r="BH114" s="22"/>
      <c r="BI114" s="24"/>
      <c r="BJ114" s="24"/>
      <c r="BK114" s="24"/>
      <c r="BL114" s="21"/>
      <c r="BM114" s="24"/>
      <c r="BN114" s="27"/>
      <c r="BO114" s="27"/>
      <c r="BP114" s="27"/>
      <c r="BQ114" s="27"/>
      <c r="BR114" s="23">
        <f>'BCB-DBGG-trimestral'!B56</f>
        <v>6729562.3947855793</v>
      </c>
      <c r="BS114" s="29">
        <f>'BCB-DBGG-trimestral'!C56</f>
        <v>80.602367557863602</v>
      </c>
    </row>
    <row r="115" spans="2:73">
      <c r="B115" s="30" t="s">
        <v>168</v>
      </c>
      <c r="C115" s="192">
        <v>2295851.050581289</v>
      </c>
      <c r="D115" s="190"/>
      <c r="E115" s="190"/>
      <c r="F115" s="191"/>
      <c r="G115" s="190">
        <v>0.1227316346446905</v>
      </c>
      <c r="H115" s="193">
        <v>408387.00496863964</v>
      </c>
      <c r="I115" s="191">
        <f t="shared" si="14"/>
        <v>17.788044431943426</v>
      </c>
      <c r="J115" s="192">
        <v>1413001.7646721783</v>
      </c>
      <c r="K115" s="191">
        <f t="shared" si="15"/>
        <v>61.545881398291016</v>
      </c>
      <c r="L115" s="193">
        <v>412702.7424409659</v>
      </c>
      <c r="M115" s="191">
        <f t="shared" si="16"/>
        <v>17.976024286787823</v>
      </c>
      <c r="N115" s="192">
        <v>454799.20281799079</v>
      </c>
      <c r="O115" s="191">
        <f t="shared" si="17"/>
        <v>19.809612766596494</v>
      </c>
      <c r="P115" s="185">
        <v>3.0195945219914222</v>
      </c>
      <c r="Q115" s="18">
        <v>6.25</v>
      </c>
      <c r="R115" s="18">
        <v>21.41241758505863</v>
      </c>
      <c r="S115" s="18">
        <v>7.8</v>
      </c>
      <c r="T115" s="187">
        <v>5.3483900000000002</v>
      </c>
      <c r="U115" s="194">
        <v>439372</v>
      </c>
      <c r="V115" s="194">
        <v>-7888.4633013599923</v>
      </c>
      <c r="W115" s="195">
        <f t="shared" si="18"/>
        <v>-1.7953950869331665</v>
      </c>
      <c r="X115" s="194">
        <v>-1376.3783561099999</v>
      </c>
      <c r="Y115" s="195">
        <f t="shared" si="19"/>
        <v>-0.31326037073595947</v>
      </c>
      <c r="Z115" s="194">
        <v>-11675.258108320002</v>
      </c>
      <c r="AA115" s="195">
        <f t="shared" si="20"/>
        <v>-2.6572603871707807</v>
      </c>
      <c r="AB115" s="194">
        <v>-2410.4164508500107</v>
      </c>
      <c r="AC115" s="195">
        <f t="shared" si="21"/>
        <v>-0.54860492950165485</v>
      </c>
      <c r="AD115" s="194">
        <v>368886</v>
      </c>
      <c r="AE115" s="194">
        <v>22.660821767009161</v>
      </c>
      <c r="AF115" s="194"/>
      <c r="AG115" s="194"/>
      <c r="AH115" s="194">
        <v>16451.898732809997</v>
      </c>
      <c r="AI115" s="195">
        <f t="shared" si="13"/>
        <v>3.7444121912206509</v>
      </c>
      <c r="AJ115" s="20"/>
      <c r="AK115" s="26"/>
      <c r="AL115" s="5"/>
      <c r="AM115" s="26"/>
      <c r="AN115" s="26"/>
      <c r="AO115" s="26"/>
      <c r="AP115" s="26"/>
      <c r="AQ115" s="26"/>
      <c r="AR115" s="25"/>
      <c r="AS115" s="25"/>
      <c r="AT115" s="25"/>
      <c r="AU115" s="26"/>
      <c r="AV115" s="26"/>
      <c r="AW115" s="26"/>
      <c r="AX115" s="25"/>
      <c r="AY115" s="26"/>
      <c r="AZ115" s="22"/>
      <c r="BA115" s="24"/>
      <c r="BB115" s="21"/>
      <c r="BC115" s="24"/>
      <c r="BD115" s="22"/>
      <c r="BE115" s="24"/>
      <c r="BF115" s="24"/>
      <c r="BG115" s="24"/>
      <c r="BH115" s="22"/>
      <c r="BI115" s="24"/>
      <c r="BJ115" s="24"/>
      <c r="BK115" s="24"/>
      <c r="BL115" s="21"/>
      <c r="BM115" s="24"/>
      <c r="BN115" s="27"/>
      <c r="BO115" s="27"/>
      <c r="BP115" s="27"/>
      <c r="BQ115" s="27"/>
      <c r="BR115" s="23">
        <f>'BCB-DBGG-trimestral'!B57</f>
        <v>6939728.6043054005</v>
      </c>
      <c r="BS115" s="29">
        <f>'BCB-DBGG-trimestral'!C57</f>
        <v>79.624080641307998</v>
      </c>
    </row>
    <row r="116" spans="2:73">
      <c r="B116" s="30" t="s">
        <v>169</v>
      </c>
      <c r="C116" s="192">
        <v>2355982.0638733003</v>
      </c>
      <c r="D116" s="190"/>
      <c r="E116" s="190"/>
      <c r="F116" s="191"/>
      <c r="G116" s="190">
        <v>1.1780234832825531</v>
      </c>
      <c r="H116" s="193">
        <v>491758.72885827802</v>
      </c>
      <c r="I116" s="191">
        <f t="shared" si="14"/>
        <v>20.872770484925208</v>
      </c>
      <c r="J116" s="192">
        <v>1523898.4774676124</v>
      </c>
      <c r="K116" s="191">
        <f t="shared" si="15"/>
        <v>64.682091635378612</v>
      </c>
      <c r="L116" s="193">
        <v>466941.80259443243</v>
      </c>
      <c r="M116" s="191">
        <f t="shared" si="16"/>
        <v>19.819412454556936</v>
      </c>
      <c r="N116" s="192">
        <v>434715.82131826313</v>
      </c>
      <c r="O116" s="191">
        <f t="shared" si="17"/>
        <v>18.451576010879226</v>
      </c>
      <c r="P116" s="185">
        <v>2.9580045119536464</v>
      </c>
      <c r="Q116" s="18">
        <v>9.25</v>
      </c>
      <c r="R116" s="18">
        <v>24.3108182770297</v>
      </c>
      <c r="S116" s="18">
        <v>9.27</v>
      </c>
      <c r="T116" s="187">
        <v>5.6644600000000001</v>
      </c>
      <c r="U116" s="194">
        <v>422221</v>
      </c>
      <c r="V116" s="194">
        <v>-20452.591211569998</v>
      </c>
      <c r="W116" s="195">
        <f t="shared" si="18"/>
        <v>-4.844048782881476</v>
      </c>
      <c r="X116" s="194">
        <v>-1241.41919411</v>
      </c>
      <c r="Y116" s="195">
        <f t="shared" si="19"/>
        <v>-0.29402118656106635</v>
      </c>
      <c r="Z116" s="194">
        <v>-22119.298391849999</v>
      </c>
      <c r="AA116" s="195">
        <f t="shared" si="20"/>
        <v>-5.2387963630065775</v>
      </c>
      <c r="AB116" s="194">
        <v>-425.28798616999916</v>
      </c>
      <c r="AC116" s="195">
        <f t="shared" si="21"/>
        <v>-0.1007263935640338</v>
      </c>
      <c r="AD116" s="194">
        <v>362204</v>
      </c>
      <c r="AE116" s="194">
        <v>21.682500344210382</v>
      </c>
      <c r="AF116" s="194"/>
      <c r="AG116" s="194"/>
      <c r="AH116" s="194">
        <v>3227.6174768600004</v>
      </c>
      <c r="AI116" s="195">
        <f t="shared" si="13"/>
        <v>0.76443793105032676</v>
      </c>
      <c r="AJ116" s="20"/>
      <c r="AK116" s="26"/>
      <c r="AL116" s="5"/>
      <c r="AM116" s="26"/>
      <c r="AN116" s="26"/>
      <c r="AO116" s="26"/>
      <c r="AP116" s="26"/>
      <c r="AQ116" s="26"/>
      <c r="AR116" s="25"/>
      <c r="AS116" s="25"/>
      <c r="AT116" s="25"/>
      <c r="AU116" s="26"/>
      <c r="AV116" s="26"/>
      <c r="AW116" s="26"/>
      <c r="AX116" s="25"/>
      <c r="AY116" s="26"/>
      <c r="AZ116" s="22"/>
      <c r="BA116" s="24"/>
      <c r="BB116" s="21"/>
      <c r="BC116" s="24"/>
      <c r="BD116" s="22"/>
      <c r="BE116" s="24"/>
      <c r="BF116" s="24"/>
      <c r="BG116" s="24"/>
      <c r="BH116" s="22"/>
      <c r="BI116" s="24"/>
      <c r="BJ116" s="24"/>
      <c r="BK116" s="24"/>
      <c r="BL116" s="21"/>
      <c r="BM116" s="24"/>
      <c r="BN116" s="27"/>
      <c r="BO116" s="27"/>
      <c r="BP116" s="27"/>
      <c r="BQ116" s="27"/>
      <c r="BR116" s="23">
        <f>'BCB-DBGG-trimestral'!B58</f>
        <v>6966925.2007508585</v>
      </c>
      <c r="BS116" s="29">
        <f>'BCB-DBGG-trimestral'!C58</f>
        <v>77.305985650292669</v>
      </c>
    </row>
    <row r="117" spans="2:73">
      <c r="B117" s="30" t="s">
        <v>162</v>
      </c>
      <c r="C117" s="192">
        <v>2319528.1391931432</v>
      </c>
      <c r="D117" s="190"/>
      <c r="E117" s="190"/>
      <c r="F117" s="191"/>
      <c r="G117" s="190">
        <v>0.81013607007098809</v>
      </c>
      <c r="H117" s="193">
        <v>385342.66600000003</v>
      </c>
      <c r="I117" s="191">
        <f t="shared" si="14"/>
        <v>16.612976557121783</v>
      </c>
      <c r="J117" s="192">
        <v>1475026.5150438563</v>
      </c>
      <c r="K117" s="191">
        <f t="shared" si="15"/>
        <v>63.591662895581422</v>
      </c>
      <c r="L117" s="193">
        <v>441497.50900000002</v>
      </c>
      <c r="M117" s="191">
        <f t="shared" si="16"/>
        <v>19.033936322651236</v>
      </c>
      <c r="N117" s="192">
        <v>437088.70299999998</v>
      </c>
      <c r="O117" s="191">
        <f t="shared" si="17"/>
        <v>18.843862922570235</v>
      </c>
      <c r="P117" s="185">
        <v>3.2007960732282754</v>
      </c>
      <c r="Q117" s="18">
        <v>11.75</v>
      </c>
      <c r="R117" s="18">
        <v>26.526091226523143</v>
      </c>
      <c r="S117" s="18">
        <v>11.19</v>
      </c>
      <c r="T117" s="187">
        <v>4.8410399999999996</v>
      </c>
      <c r="U117" s="194">
        <v>444899</v>
      </c>
      <c r="V117" s="194">
        <v>-10202.166924055005</v>
      </c>
      <c r="W117" s="195">
        <f t="shared" si="18"/>
        <v>-2.2931422466795848</v>
      </c>
      <c r="X117" s="194">
        <v>-1512.94810781</v>
      </c>
      <c r="Y117" s="195">
        <f t="shared" si="19"/>
        <v>-0.34006552224437453</v>
      </c>
      <c r="Z117" s="194">
        <v>-12218.161323684995</v>
      </c>
      <c r="AA117" s="195">
        <f t="shared" si="20"/>
        <v>-2.7462775424725598</v>
      </c>
      <c r="AB117" s="194">
        <v>-503.04629181999121</v>
      </c>
      <c r="AC117" s="195">
        <f t="shared" si="21"/>
        <v>-0.11306977354860119</v>
      </c>
      <c r="AD117" s="194">
        <v>353169</v>
      </c>
      <c r="AE117" s="194">
        <v>20.496997146883277</v>
      </c>
      <c r="AF117" s="194"/>
      <c r="AG117" s="194"/>
      <c r="AH117" s="194">
        <v>20616.223470269997</v>
      </c>
      <c r="AI117" s="195">
        <f t="shared" si="13"/>
        <v>4.6339109483882854</v>
      </c>
      <c r="AJ117" s="20"/>
      <c r="AK117" s="26"/>
      <c r="AL117" s="5"/>
      <c r="AM117" s="26"/>
      <c r="AN117" s="26"/>
      <c r="AO117" s="26"/>
      <c r="AP117" s="26"/>
      <c r="AQ117" s="26"/>
      <c r="AR117" s="25"/>
      <c r="AS117" s="25"/>
      <c r="AT117" s="25"/>
      <c r="AU117" s="26"/>
      <c r="AV117" s="26"/>
      <c r="AW117" s="26"/>
      <c r="AX117" s="25"/>
      <c r="AY117" s="26"/>
      <c r="AZ117" s="22"/>
      <c r="BA117" s="24"/>
      <c r="BB117" s="21"/>
      <c r="BC117" s="24"/>
      <c r="BD117" s="22"/>
      <c r="BE117" s="24"/>
      <c r="BF117" s="24"/>
      <c r="BG117" s="24"/>
      <c r="BH117" s="22"/>
      <c r="BI117" s="24"/>
      <c r="BJ117" s="24"/>
      <c r="BK117" s="24"/>
      <c r="BL117" s="21"/>
      <c r="BM117" s="24"/>
      <c r="BN117" s="27"/>
      <c r="BO117" s="27"/>
      <c r="BP117" s="27"/>
      <c r="BQ117" s="27"/>
      <c r="BR117" s="23">
        <f>'BCB-DBGG-trimestral'!B59</f>
        <v>7009269.2672194513</v>
      </c>
      <c r="BS117" s="29">
        <f>'BCB-DBGG-trimestral'!C59</f>
        <v>76.395305008729935</v>
      </c>
    </row>
    <row r="118" spans="2:73">
      <c r="B118" s="30" t="s">
        <v>163</v>
      </c>
      <c r="C118" s="192">
        <v>2517481.4485767647</v>
      </c>
      <c r="D118" s="190"/>
      <c r="E118" s="190"/>
      <c r="F118" s="191"/>
      <c r="G118" s="190">
        <v>1.1919915395264935</v>
      </c>
      <c r="H118" s="193">
        <v>456786.68</v>
      </c>
      <c r="I118" s="191">
        <f t="shared" si="14"/>
        <v>18.144589715179041</v>
      </c>
      <c r="J118" s="192">
        <v>1563935.7044296418</v>
      </c>
      <c r="K118" s="191">
        <f t="shared" si="15"/>
        <v>62.123027969632062</v>
      </c>
      <c r="L118" s="193">
        <v>468974.72200000001</v>
      </c>
      <c r="M118" s="191">
        <f t="shared" si="16"/>
        <v>18.628726033517768</v>
      </c>
      <c r="N118" s="192">
        <v>510856.97100000002</v>
      </c>
      <c r="O118" s="191">
        <f t="shared" si="17"/>
        <v>20.292382741839404</v>
      </c>
      <c r="P118" s="185">
        <v>2.215350708446735</v>
      </c>
      <c r="Q118" s="18">
        <v>13.25</v>
      </c>
      <c r="R118" s="18">
        <v>27.872565135369154</v>
      </c>
      <c r="S118" s="18">
        <v>12.51</v>
      </c>
      <c r="T118" s="187">
        <v>5.1913299999999998</v>
      </c>
      <c r="U118" s="194">
        <v>510827</v>
      </c>
      <c r="V118" s="194">
        <v>-889.53009815000064</v>
      </c>
      <c r="W118" s="195">
        <f t="shared" si="18"/>
        <v>-0.17413529397428104</v>
      </c>
      <c r="X118" s="194">
        <v>-2296.0390388599999</v>
      </c>
      <c r="Y118" s="195">
        <f t="shared" si="19"/>
        <v>-0.4494748787475995</v>
      </c>
      <c r="Z118" s="194">
        <v>-2558.5445883100033</v>
      </c>
      <c r="AA118" s="195">
        <f t="shared" si="20"/>
        <v>-0.50086322537963013</v>
      </c>
      <c r="AB118" s="194">
        <v>627.02454869999724</v>
      </c>
      <c r="AC118" s="195">
        <f t="shared" si="21"/>
        <v>0.12274694734225036</v>
      </c>
      <c r="AD118" s="194">
        <v>341958</v>
      </c>
      <c r="AE118" s="194">
        <v>18.816619426748964</v>
      </c>
      <c r="AF118" s="194"/>
      <c r="AG118" s="194"/>
      <c r="AH118" s="194">
        <v>17853.552166059999</v>
      </c>
      <c r="AI118" s="195">
        <f t="shared" si="13"/>
        <v>3.4950290736511578</v>
      </c>
      <c r="AJ118" s="20"/>
      <c r="AK118" s="26"/>
      <c r="AL118" s="5"/>
      <c r="AM118" s="26"/>
      <c r="AN118" s="26"/>
      <c r="AO118" s="26"/>
      <c r="AP118" s="26"/>
      <c r="AQ118" s="26"/>
      <c r="AR118" s="25"/>
      <c r="AS118" s="25"/>
      <c r="AT118" s="25"/>
      <c r="AU118" s="26"/>
      <c r="AV118" s="26"/>
      <c r="AW118" s="26"/>
      <c r="AX118" s="25"/>
      <c r="AY118" s="26"/>
      <c r="AZ118" s="22"/>
      <c r="BA118" s="24"/>
      <c r="BB118" s="21"/>
      <c r="BC118" s="24"/>
      <c r="BD118" s="22"/>
      <c r="BE118" s="24"/>
      <c r="BF118" s="24"/>
      <c r="BG118" s="24"/>
      <c r="BH118" s="22"/>
      <c r="BI118" s="24"/>
      <c r="BJ118" s="24"/>
      <c r="BK118" s="24"/>
      <c r="BL118" s="21"/>
      <c r="BM118" s="24"/>
      <c r="BN118" s="27"/>
      <c r="BO118" s="27"/>
      <c r="BP118" s="27"/>
      <c r="BQ118" s="27"/>
      <c r="BR118" s="23">
        <f>'BCB-DBGG-trimestral'!B60</f>
        <v>7174528.5235063992</v>
      </c>
      <c r="BS118" s="29">
        <f>'BCB-DBGG-trimestral'!C60</f>
        <v>75.610153404950537</v>
      </c>
    </row>
    <row r="119" spans="2:73">
      <c r="B119" s="30" t="s">
        <v>164</v>
      </c>
      <c r="C119" s="192">
        <v>2601181.9512716387</v>
      </c>
      <c r="D119" s="190"/>
      <c r="E119" s="190"/>
      <c r="F119" s="191"/>
      <c r="G119" s="190">
        <v>0.970304921997589</v>
      </c>
      <c r="H119" s="193">
        <v>462230.17499999999</v>
      </c>
      <c r="I119" s="191">
        <f t="shared" si="14"/>
        <v>17.770005469014947</v>
      </c>
      <c r="J119" s="192">
        <v>1626418.6259840238</v>
      </c>
      <c r="K119" s="191">
        <f t="shared" si="15"/>
        <v>62.526138365250347</v>
      </c>
      <c r="L119" s="193">
        <v>537589.10900000005</v>
      </c>
      <c r="M119" s="191">
        <f t="shared" si="16"/>
        <v>20.667108993939816</v>
      </c>
      <c r="N119" s="192">
        <v>538197.08600000001</v>
      </c>
      <c r="O119" s="191">
        <f t="shared" si="17"/>
        <v>20.690482099373781</v>
      </c>
      <c r="P119" s="185">
        <v>-1.3245351115654813</v>
      </c>
      <c r="Q119" s="18">
        <v>13.75</v>
      </c>
      <c r="R119" s="18">
        <v>28.626269336439236</v>
      </c>
      <c r="S119" s="18">
        <v>12.64</v>
      </c>
      <c r="T119" s="187">
        <v>5.2832999999999997</v>
      </c>
      <c r="U119" s="194">
        <v>494447</v>
      </c>
      <c r="V119" s="194">
        <v>-18683.777873190003</v>
      </c>
      <c r="W119" s="195">
        <f t="shared" si="18"/>
        <v>-3.7787220618569846</v>
      </c>
      <c r="X119" s="194">
        <v>-1551.3082981800001</v>
      </c>
      <c r="Y119" s="195">
        <f t="shared" si="19"/>
        <v>-0.31374612409014518</v>
      </c>
      <c r="Z119" s="194">
        <v>-21975.706256609999</v>
      </c>
      <c r="AA119" s="195">
        <f t="shared" si="20"/>
        <v>-4.4445018893046164</v>
      </c>
      <c r="AB119" s="194">
        <v>-1740.620085239995</v>
      </c>
      <c r="AC119" s="195">
        <f t="shared" si="21"/>
        <v>-0.35203370335748724</v>
      </c>
      <c r="AD119" s="194">
        <v>327580</v>
      </c>
      <c r="AE119" s="194">
        <v>17.495249397295652</v>
      </c>
      <c r="AF119" s="194"/>
      <c r="AG119" s="194"/>
      <c r="AH119" s="194">
        <v>26287.371089859997</v>
      </c>
      <c r="AI119" s="195">
        <f t="shared" si="13"/>
        <v>5.3165194833541305</v>
      </c>
      <c r="AJ119" s="20"/>
      <c r="AK119" s="26"/>
      <c r="AL119" s="5"/>
      <c r="AM119" s="26"/>
      <c r="AN119" s="26"/>
      <c r="AO119" s="26"/>
      <c r="AP119" s="26"/>
      <c r="AQ119" s="26"/>
      <c r="AR119" s="25"/>
      <c r="AS119" s="25"/>
      <c r="AT119" s="25"/>
      <c r="AU119" s="26"/>
      <c r="AV119" s="26"/>
      <c r="AW119" s="26"/>
      <c r="AX119" s="25"/>
      <c r="AY119" s="26"/>
      <c r="AZ119" s="22"/>
      <c r="BA119" s="24"/>
      <c r="BB119" s="21"/>
      <c r="BC119" s="24"/>
      <c r="BD119" s="22"/>
      <c r="BE119" s="24"/>
      <c r="BF119" s="24"/>
      <c r="BG119" s="24"/>
      <c r="BH119" s="22"/>
      <c r="BI119" s="24"/>
      <c r="BJ119" s="24"/>
      <c r="BK119" s="24"/>
      <c r="BL119" s="21"/>
      <c r="BM119" s="24"/>
      <c r="BN119" s="27"/>
      <c r="BO119" s="27"/>
      <c r="BP119" s="27"/>
      <c r="BQ119" s="27"/>
      <c r="BR119" s="23">
        <f>'BCB-DBGG-trimestral'!B61</f>
        <v>7262409.8954709303</v>
      </c>
      <c r="BS119" s="29">
        <f>'BCB-DBGG-trimestral'!C61</f>
        <v>74.150308029148746</v>
      </c>
    </row>
    <row r="120" spans="2:73">
      <c r="B120" s="30" t="s">
        <v>165</v>
      </c>
      <c r="C120" s="192">
        <v>2641485.1401344826</v>
      </c>
      <c r="D120" s="190"/>
      <c r="E120" s="190"/>
      <c r="F120" s="191"/>
      <c r="G120" s="190">
        <v>0.44236624445650463</v>
      </c>
      <c r="H120" s="193">
        <v>550524.02300000004</v>
      </c>
      <c r="I120" s="191">
        <f t="shared" si="14"/>
        <v>20.841458262830578</v>
      </c>
      <c r="J120" s="192">
        <v>1691276.8179185549</v>
      </c>
      <c r="K120" s="191">
        <f t="shared" si="15"/>
        <v>64.027496964546586</v>
      </c>
      <c r="L120" s="193">
        <v>485754.96799999999</v>
      </c>
      <c r="M120" s="191">
        <f t="shared" si="16"/>
        <v>18.389464344110198</v>
      </c>
      <c r="N120" s="192">
        <v>492574.88199999998</v>
      </c>
      <c r="O120" s="191">
        <f t="shared" si="17"/>
        <v>18.647649177194392</v>
      </c>
      <c r="P120" s="185">
        <v>1.6286414853838238</v>
      </c>
      <c r="Q120" s="18">
        <v>13.75</v>
      </c>
      <c r="R120" s="18">
        <v>29.688297735605641</v>
      </c>
      <c r="S120" s="18">
        <v>12.39</v>
      </c>
      <c r="T120" s="187">
        <v>5.2272800000000004</v>
      </c>
      <c r="U120" s="194">
        <v>501401</v>
      </c>
      <c r="V120" s="194">
        <v>-12184.584853264992</v>
      </c>
      <c r="W120" s="195">
        <f t="shared" si="18"/>
        <v>-2.4301078085733763</v>
      </c>
      <c r="X120" s="194">
        <v>-1763.6399188299997</v>
      </c>
      <c r="Y120" s="195">
        <f t="shared" si="19"/>
        <v>-0.35174240155683767</v>
      </c>
      <c r="Z120" s="194">
        <v>-12395.703830435008</v>
      </c>
      <c r="AA120" s="195">
        <f t="shared" si="20"/>
        <v>-2.4722136235139156</v>
      </c>
      <c r="AB120" s="194">
        <v>1552.5209416599846</v>
      </c>
      <c r="AC120" s="195">
        <f t="shared" si="21"/>
        <v>0.30963658661629806</v>
      </c>
      <c r="AD120" s="194">
        <v>324703</v>
      </c>
      <c r="AE120" s="194">
        <v>16.638006040252638</v>
      </c>
      <c r="AF120" s="194"/>
      <c r="AG120" s="194"/>
      <c r="AH120" s="194">
        <v>10743.892007120003</v>
      </c>
      <c r="AI120" s="195">
        <f t="shared" si="13"/>
        <v>2.1427743477017405</v>
      </c>
      <c r="AJ120" s="20"/>
      <c r="AK120" s="26"/>
      <c r="AL120" s="5"/>
      <c r="AM120" s="26"/>
      <c r="AN120" s="26"/>
      <c r="AO120" s="26"/>
      <c r="AP120" s="26"/>
      <c r="AQ120" s="26"/>
      <c r="AR120" s="25"/>
      <c r="AS120" s="25"/>
      <c r="AT120" s="25"/>
      <c r="AU120" s="26"/>
      <c r="AV120" s="26"/>
      <c r="AW120" s="26"/>
      <c r="AX120" s="25"/>
      <c r="AY120" s="26"/>
      <c r="AZ120" s="22"/>
      <c r="BA120" s="24"/>
      <c r="BB120" s="21"/>
      <c r="BC120" s="24"/>
      <c r="BD120" s="22"/>
      <c r="BE120" s="24"/>
      <c r="BF120" s="24"/>
      <c r="BG120" s="24"/>
      <c r="BH120" s="22"/>
      <c r="BI120" s="24"/>
      <c r="BJ120" s="24"/>
      <c r="BK120" s="24"/>
      <c r="BL120" s="21"/>
      <c r="BM120" s="24"/>
      <c r="BN120" s="27"/>
      <c r="BO120" s="27"/>
      <c r="BP120" s="27"/>
      <c r="BQ120" s="27"/>
      <c r="BR120" s="23">
        <f>'BCB-DBGG-trimestral'!B62</f>
        <v>7224882.2303649401</v>
      </c>
      <c r="BS120" s="29">
        <f>'BCB-DBGG-trimestral'!C62</f>
        <v>71.67771804914247</v>
      </c>
    </row>
    <row r="121" spans="2:73">
      <c r="B121" s="30" t="s">
        <v>158</v>
      </c>
      <c r="C121" s="192">
        <v>2581018.0433170968</v>
      </c>
      <c r="D121" s="190"/>
      <c r="E121" s="190"/>
      <c r="F121" s="191"/>
      <c r="G121" s="190">
        <v>1.3361718801007116</v>
      </c>
      <c r="H121" s="193">
        <v>435038.50199999998</v>
      </c>
      <c r="I121" s="191">
        <f t="shared" si="14"/>
        <v>16.85530649917089</v>
      </c>
      <c r="J121" s="192">
        <v>1635672.6352146193</v>
      </c>
      <c r="K121" s="191">
        <f t="shared" si="15"/>
        <v>63.37315771386357</v>
      </c>
      <c r="L121" s="193">
        <v>435199.02399999998</v>
      </c>
      <c r="M121" s="191">
        <f t="shared" si="16"/>
        <v>16.861525828028963</v>
      </c>
      <c r="N121" s="192">
        <v>467382.26299999998</v>
      </c>
      <c r="O121" s="191">
        <f t="shared" si="17"/>
        <v>18.108446169532595</v>
      </c>
      <c r="P121" s="185">
        <v>2.0941939330469523</v>
      </c>
      <c r="Q121" s="18">
        <v>13.75</v>
      </c>
      <c r="R121" s="18">
        <v>31.065573523050571</v>
      </c>
      <c r="S121" s="18">
        <v>12.63</v>
      </c>
      <c r="T121" s="187">
        <v>5.20702</v>
      </c>
      <c r="U121" s="194">
        <v>495944</v>
      </c>
      <c r="V121" s="194">
        <v>-14075.774863454995</v>
      </c>
      <c r="W121" s="195">
        <f t="shared" si="18"/>
        <v>-2.8381782748566358</v>
      </c>
      <c r="X121" s="194">
        <v>-1993.2005209700001</v>
      </c>
      <c r="Y121" s="195">
        <f t="shared" si="19"/>
        <v>-0.40190031958648559</v>
      </c>
      <c r="Z121" s="194">
        <v>-13910.521827660001</v>
      </c>
      <c r="AA121" s="195">
        <f t="shared" si="20"/>
        <v>-2.8048573685053153</v>
      </c>
      <c r="AB121" s="194">
        <v>2158.4535567649946</v>
      </c>
      <c r="AC121" s="195">
        <f t="shared" si="21"/>
        <v>0.43522122593780643</v>
      </c>
      <c r="AD121" s="194">
        <v>341158</v>
      </c>
      <c r="AE121" s="194">
        <v>17.035591892416878</v>
      </c>
      <c r="AF121" s="194"/>
      <c r="AG121" s="194"/>
      <c r="AH121" s="194">
        <v>23221.801535160001</v>
      </c>
      <c r="AI121" s="195">
        <f t="shared" si="13"/>
        <v>4.6823434773200203</v>
      </c>
      <c r="AJ121" s="20"/>
      <c r="AK121" s="26"/>
      <c r="AL121" s="5"/>
      <c r="AM121" s="26"/>
      <c r="AN121" s="26"/>
      <c r="AO121" s="26"/>
      <c r="AP121" s="26"/>
      <c r="AQ121" s="26"/>
      <c r="AR121" s="25"/>
      <c r="AS121" s="25"/>
      <c r="AT121" s="25"/>
      <c r="AU121" s="26"/>
      <c r="AV121" s="26"/>
      <c r="AW121" s="26"/>
      <c r="AX121" s="25"/>
      <c r="AY121" s="26"/>
      <c r="AZ121" s="22"/>
      <c r="BA121" s="24"/>
      <c r="BB121" s="21"/>
      <c r="BC121" s="24"/>
      <c r="BD121" s="22"/>
      <c r="BE121" s="24"/>
      <c r="BF121" s="24"/>
      <c r="BG121" s="24"/>
      <c r="BH121" s="22"/>
      <c r="BI121" s="24"/>
      <c r="BJ121" s="24"/>
      <c r="BK121" s="24"/>
      <c r="BL121" s="21"/>
      <c r="BM121" s="24"/>
      <c r="BN121" s="27"/>
      <c r="BO121" s="27"/>
      <c r="BP121" s="27"/>
      <c r="BQ121" s="27"/>
      <c r="BR121" s="23">
        <f>'BCB-DBGG-trimestral'!B63</f>
        <v>7398049.6629185211</v>
      </c>
      <c r="BS121" s="29">
        <f>'BCB-DBGG-trimestral'!C63</f>
        <v>71.539797790953941</v>
      </c>
    </row>
    <row r="122" spans="2:73">
      <c r="B122" s="30" t="s">
        <v>159</v>
      </c>
      <c r="C122" s="192">
        <v>2727579.8951039035</v>
      </c>
      <c r="D122" s="190"/>
      <c r="E122" s="190"/>
      <c r="F122" s="191"/>
      <c r="G122" s="190">
        <v>0.84281483651893474</v>
      </c>
      <c r="H122" s="193">
        <v>511529.16100000002</v>
      </c>
      <c r="I122" s="191">
        <f t="shared" si="14"/>
        <v>18.753957012156157</v>
      </c>
      <c r="J122" s="192">
        <v>1686827.426392012</v>
      </c>
      <c r="K122" s="191">
        <f t="shared" si="15"/>
        <v>61.843373659555247</v>
      </c>
      <c r="L122" s="193">
        <v>423306.728</v>
      </c>
      <c r="M122" s="191">
        <f t="shared" si="16"/>
        <v>15.519498760049141</v>
      </c>
      <c r="N122" s="192">
        <v>509059.13500000001</v>
      </c>
      <c r="O122" s="191">
        <f t="shared" si="17"/>
        <v>18.663399591475873</v>
      </c>
      <c r="P122" s="185">
        <v>0.76070363573370514</v>
      </c>
      <c r="Q122" s="18">
        <v>13.75</v>
      </c>
      <c r="R122" s="18">
        <v>30.911883514431683</v>
      </c>
      <c r="S122" s="18">
        <v>12</v>
      </c>
      <c r="T122" s="187">
        <v>4.8001699999999996</v>
      </c>
      <c r="U122" s="194">
        <v>550274</v>
      </c>
      <c r="V122" s="194">
        <v>-2364.7986150500001</v>
      </c>
      <c r="W122" s="195">
        <f t="shared" si="18"/>
        <v>-0.42974929127125755</v>
      </c>
      <c r="X122" s="194">
        <v>-2704.8488878899998</v>
      </c>
      <c r="Y122" s="195">
        <f t="shared" si="19"/>
        <v>-0.49154582769493016</v>
      </c>
      <c r="Z122" s="194">
        <v>-4824.6692272599976</v>
      </c>
      <c r="AA122" s="195">
        <f t="shared" si="20"/>
        <v>-0.87677579301584252</v>
      </c>
      <c r="AB122" s="194">
        <v>244.97827568000207</v>
      </c>
      <c r="AC122" s="195">
        <f t="shared" si="21"/>
        <v>4.4519325950345114E-2</v>
      </c>
      <c r="AD122" s="194">
        <v>343620</v>
      </c>
      <c r="AE122" s="194">
        <v>16.827076108215895</v>
      </c>
      <c r="AF122" s="194"/>
      <c r="AG122" s="194"/>
      <c r="AH122" s="194">
        <v>12402.484846229996</v>
      </c>
      <c r="AI122" s="195">
        <f t="shared" si="13"/>
        <v>2.2538744055197948</v>
      </c>
      <c r="AJ122" s="20"/>
      <c r="AK122" s="26"/>
      <c r="AL122" s="5"/>
      <c r="AM122" s="26"/>
      <c r="AN122" s="26"/>
      <c r="AO122" s="26"/>
      <c r="AP122" s="26"/>
      <c r="AQ122" s="26"/>
      <c r="AR122" s="25"/>
      <c r="AS122" s="25"/>
      <c r="AT122" s="25"/>
      <c r="AU122" s="26"/>
      <c r="AV122" s="26"/>
      <c r="AW122" s="26"/>
      <c r="AX122" s="25"/>
      <c r="AY122" s="26"/>
      <c r="AZ122" s="22"/>
      <c r="BA122" s="24"/>
      <c r="BB122" s="21"/>
      <c r="BC122" s="24"/>
      <c r="BD122" s="22"/>
      <c r="BE122" s="24"/>
      <c r="BF122" s="24"/>
      <c r="BG122" s="24"/>
      <c r="BH122" s="22"/>
      <c r="BI122" s="24"/>
      <c r="BJ122" s="24"/>
      <c r="BK122" s="24"/>
      <c r="BL122" s="21"/>
      <c r="BM122" s="24"/>
      <c r="BN122" s="27"/>
      <c r="BO122" s="27"/>
      <c r="BP122" s="27"/>
      <c r="BQ122" s="27"/>
      <c r="BR122" s="23">
        <f>'BCB-DBGG-trimestral'!B64</f>
        <v>7594036.7025590399</v>
      </c>
      <c r="BS122" s="29">
        <f>'BCB-DBGG-trimestral'!C64</f>
        <v>71.972760432911628</v>
      </c>
    </row>
    <row r="123" spans="2:73">
      <c r="B123" s="30" t="s">
        <v>160</v>
      </c>
      <c r="C123" s="192">
        <v>2769445.414357109</v>
      </c>
      <c r="D123" s="190"/>
      <c r="E123" s="190"/>
      <c r="F123" s="191"/>
      <c r="G123" s="190">
        <v>8.8125650815173984E-2</v>
      </c>
      <c r="H123" s="193">
        <v>506846.35499999998</v>
      </c>
      <c r="I123" s="191">
        <f t="shared" si="14"/>
        <v>18.301366489205847</v>
      </c>
      <c r="J123" s="192">
        <v>1748851.5948397222</v>
      </c>
      <c r="K123" s="191">
        <f t="shared" si="15"/>
        <v>63.148079603717179</v>
      </c>
      <c r="L123" s="193">
        <v>426063.82900000003</v>
      </c>
      <c r="M123" s="191">
        <f t="shared" si="16"/>
        <v>15.384445809664216</v>
      </c>
      <c r="N123" s="192">
        <v>495089.777</v>
      </c>
      <c r="O123" s="191">
        <f t="shared" si="17"/>
        <v>17.876856298860424</v>
      </c>
      <c r="P123" s="185">
        <v>0.61126585034422476</v>
      </c>
      <c r="Q123" s="18">
        <v>12.75</v>
      </c>
      <c r="R123" s="18">
        <v>29.688297735605641</v>
      </c>
      <c r="S123" s="18">
        <v>11.29</v>
      </c>
      <c r="T123" s="187">
        <v>4.9411999999999994</v>
      </c>
      <c r="U123" s="194">
        <v>566913</v>
      </c>
      <c r="V123" s="194">
        <v>-4989.8401862849969</v>
      </c>
      <c r="W123" s="195">
        <f t="shared" si="18"/>
        <v>-0.88017741457419341</v>
      </c>
      <c r="X123" s="194">
        <v>-3057.1892825699997</v>
      </c>
      <c r="Y123" s="195">
        <f t="shared" si="19"/>
        <v>-0.53926956738864684</v>
      </c>
      <c r="Z123" s="194">
        <v>-12370.433331340002</v>
      </c>
      <c r="AA123" s="195">
        <f t="shared" si="20"/>
        <v>-2.1820690884386145</v>
      </c>
      <c r="AB123" s="194">
        <v>-4323.4038624850054</v>
      </c>
      <c r="AC123" s="195">
        <f t="shared" si="21"/>
        <v>-0.76262210647577411</v>
      </c>
      <c r="AD123" s="194">
        <v>340324</v>
      </c>
      <c r="AE123" s="194">
        <v>16.094530610082987</v>
      </c>
      <c r="AF123" s="194"/>
      <c r="AG123" s="194"/>
      <c r="AH123" s="194">
        <v>19378.941336800002</v>
      </c>
      <c r="AI123" s="195">
        <f t="shared" si="13"/>
        <v>3.4183272101363</v>
      </c>
      <c r="AJ123" s="20"/>
      <c r="AK123" s="26"/>
      <c r="AL123" s="5"/>
      <c r="AM123" s="26"/>
      <c r="AN123" s="26"/>
      <c r="AO123" s="26"/>
      <c r="AP123" s="26"/>
      <c r="AQ123" s="26"/>
      <c r="AR123" s="25"/>
      <c r="AS123" s="25"/>
      <c r="AT123" s="25"/>
      <c r="AU123" s="26"/>
      <c r="AV123" s="26"/>
      <c r="AW123" s="26"/>
      <c r="AX123" s="25"/>
      <c r="AY123" s="26"/>
      <c r="AZ123" s="22"/>
      <c r="BA123" s="24"/>
      <c r="BB123" s="21"/>
      <c r="BC123" s="24"/>
      <c r="BD123" s="22"/>
      <c r="BE123" s="24"/>
      <c r="BF123" s="24"/>
      <c r="BG123" s="24"/>
      <c r="BH123" s="22"/>
      <c r="BI123" s="24"/>
      <c r="BJ123" s="24"/>
      <c r="BK123" s="24"/>
      <c r="BL123" s="21"/>
      <c r="BM123" s="24"/>
      <c r="BN123" s="27"/>
      <c r="BO123" s="27"/>
      <c r="BP123" s="27"/>
      <c r="BQ123" s="27"/>
      <c r="BR123" s="23">
        <f>'BCB-DBGG-trimestral'!B65</f>
        <v>7826080.1623944798</v>
      </c>
      <c r="BS123" s="29">
        <f>'BCB-DBGG-trimestral'!C65</f>
        <v>73.007690287579592</v>
      </c>
    </row>
    <row r="124" spans="2:73">
      <c r="B124" s="30" t="s">
        <v>161</v>
      </c>
      <c r="C124" s="192">
        <v>2865301.315126935</v>
      </c>
      <c r="D124" s="190"/>
      <c r="E124" s="190"/>
      <c r="F124" s="191"/>
      <c r="G124" s="190">
        <v>0.31765320568388766</v>
      </c>
      <c r="H124" s="193">
        <v>630484.51500000001</v>
      </c>
      <c r="I124" s="191">
        <f t="shared" si="14"/>
        <v>22.004126116560592</v>
      </c>
      <c r="J124" s="192">
        <v>1814673.9137940672</v>
      </c>
      <c r="K124" s="191">
        <f t="shared" si="15"/>
        <v>63.332742850246305</v>
      </c>
      <c r="L124" s="193">
        <v>433196.89299999998</v>
      </c>
      <c r="M124" s="191">
        <f t="shared" si="16"/>
        <v>15.11872034933991</v>
      </c>
      <c r="N124" s="192">
        <v>494913.91800000001</v>
      </c>
      <c r="O124" s="191">
        <f t="shared" si="17"/>
        <v>17.272665718860878</v>
      </c>
      <c r="P124" s="185">
        <v>1.0836245981739125</v>
      </c>
      <c r="Q124" s="18">
        <v>11.75</v>
      </c>
      <c r="R124" s="18">
        <v>28.173559658490287</v>
      </c>
      <c r="S124" s="18">
        <v>3.09</v>
      </c>
      <c r="T124" s="187">
        <v>4.870989999999999</v>
      </c>
      <c r="U124" s="194">
        <v>577860</v>
      </c>
      <c r="V124" s="194">
        <v>-5642.8135147949843</v>
      </c>
      <c r="W124" s="195">
        <f t="shared" si="18"/>
        <v>-0.97650183691464798</v>
      </c>
      <c r="X124" s="194">
        <v>-3610.4893629099997</v>
      </c>
      <c r="Y124" s="195">
        <f t="shared" si="19"/>
        <v>-0.62480347539369396</v>
      </c>
      <c r="Z124" s="194">
        <v>-7283.2960413000001</v>
      </c>
      <c r="AA124" s="195">
        <f t="shared" si="20"/>
        <v>-1.2603911053369328</v>
      </c>
      <c r="AB124" s="194">
        <v>1970.0068364049844</v>
      </c>
      <c r="AC124" s="195">
        <f t="shared" si="21"/>
        <v>0.34091420697140906</v>
      </c>
      <c r="AD124" s="194">
        <v>355034</v>
      </c>
      <c r="AE124" s="194">
        <v>16.204265558370619</v>
      </c>
      <c r="AF124" s="194"/>
      <c r="AG124" s="194"/>
      <c r="AH124" s="194">
        <v>7747.136567290001</v>
      </c>
      <c r="AI124" s="195">
        <f t="shared" si="13"/>
        <v>1.3406597735247292</v>
      </c>
      <c r="AJ124" s="20"/>
      <c r="AK124" s="26"/>
      <c r="AL124" s="5"/>
      <c r="AM124" s="26"/>
      <c r="AN124" s="26"/>
      <c r="AO124" s="26"/>
      <c r="AP124" s="26"/>
      <c r="AQ124" s="26"/>
      <c r="AR124" s="25"/>
      <c r="AS124" s="25"/>
      <c r="AT124" s="25"/>
      <c r="AU124" s="26"/>
      <c r="AV124" s="26"/>
      <c r="AW124" s="26"/>
      <c r="AX124" s="25"/>
      <c r="AY124" s="26"/>
      <c r="AZ124" s="22"/>
      <c r="BA124" s="24"/>
      <c r="BB124" s="21"/>
      <c r="BC124" s="24"/>
      <c r="BD124" s="22"/>
      <c r="BE124" s="24"/>
      <c r="BF124" s="24"/>
      <c r="BG124" s="24"/>
      <c r="BH124" s="22"/>
      <c r="BI124" s="24"/>
      <c r="BJ124" s="24"/>
      <c r="BK124" s="24"/>
      <c r="BL124" s="21"/>
      <c r="BM124" s="24"/>
      <c r="BN124" s="27"/>
      <c r="BO124" s="27"/>
      <c r="BP124" s="27"/>
      <c r="BQ124" s="27"/>
      <c r="BR124" s="23">
        <f>'BCB-DBGG-trimestral'!B66</f>
        <v>8079270.0245204289</v>
      </c>
      <c r="BS124" s="29">
        <f>'BCB-DBGG-trimestral'!C66</f>
        <v>73.828160125629395</v>
      </c>
    </row>
    <row r="125" spans="2:73">
      <c r="B125" s="30" t="s">
        <v>154</v>
      </c>
      <c r="C125" s="192">
        <v>2753199.7832334288</v>
      </c>
      <c r="D125" s="190"/>
      <c r="E125" s="190"/>
      <c r="F125" s="191"/>
      <c r="G125" s="190">
        <v>0.87534340593655724</v>
      </c>
      <c r="H125" s="193">
        <v>469846.87800000003</v>
      </c>
      <c r="I125" s="191">
        <f t="shared" si="14"/>
        <v>17.065484345207953</v>
      </c>
      <c r="J125" s="192">
        <v>1778714.4764015779</v>
      </c>
      <c r="K125" s="191">
        <f t="shared" si="15"/>
        <v>64.605354367441137</v>
      </c>
      <c r="L125" s="193">
        <v>430190.27399999998</v>
      </c>
      <c r="M125" s="191">
        <f t="shared" si="16"/>
        <v>15.6251019856893</v>
      </c>
      <c r="N125" s="192">
        <v>454239.32</v>
      </c>
      <c r="O125" s="191">
        <f t="shared" si="17"/>
        <v>16.498596388327826</v>
      </c>
      <c r="P125" s="185">
        <v>1.4154167780112061</v>
      </c>
      <c r="Q125" s="18">
        <v>10.75</v>
      </c>
      <c r="R125" s="18">
        <v>28.173559658490287</v>
      </c>
      <c r="S125" s="18"/>
      <c r="T125" s="187">
        <v>4.9979399999999998</v>
      </c>
      <c r="U125" s="194">
        <v>554843</v>
      </c>
      <c r="V125" s="194">
        <v>-13789.600552309992</v>
      </c>
      <c r="W125" s="195">
        <f t="shared" si="18"/>
        <v>-2.4853157654165221</v>
      </c>
      <c r="X125" s="194">
        <v>-4276.6697237699991</v>
      </c>
      <c r="Y125" s="195">
        <f t="shared" si="19"/>
        <v>-0.77078916446093748</v>
      </c>
      <c r="Z125" s="194">
        <v>-18620.660703809997</v>
      </c>
      <c r="AA125" s="195">
        <f t="shared" si="20"/>
        <v>-3.3560233622502218</v>
      </c>
      <c r="AB125" s="194">
        <v>-554.39042773000278</v>
      </c>
      <c r="AC125" s="195">
        <f t="shared" si="21"/>
        <v>-9.9918432372761809E-2</v>
      </c>
      <c r="AD125" s="194">
        <v>355008</v>
      </c>
      <c r="AE125" s="194">
        <v>15.77890474645427</v>
      </c>
      <c r="AF125" s="194"/>
      <c r="AG125" s="194"/>
      <c r="AH125" s="194">
        <v>23053.880815459997</v>
      </c>
      <c r="AI125" s="195">
        <f t="shared" si="13"/>
        <v>4.1550277854203799</v>
      </c>
      <c r="AJ125" s="20"/>
      <c r="AK125" s="26"/>
      <c r="AL125" s="5"/>
      <c r="AM125" s="26"/>
      <c r="AN125" s="26"/>
      <c r="AO125" s="26"/>
      <c r="AP125" s="26"/>
      <c r="AQ125" s="26"/>
      <c r="AR125" s="25"/>
      <c r="AS125" s="25"/>
      <c r="AT125" s="25"/>
      <c r="AU125" s="26"/>
      <c r="AV125" s="26"/>
      <c r="AW125" s="26"/>
      <c r="AX125" s="25"/>
      <c r="AY125" s="26"/>
      <c r="AZ125" s="22"/>
      <c r="BA125" s="24"/>
      <c r="BB125" s="21"/>
      <c r="BC125" s="24"/>
      <c r="BD125" s="22"/>
      <c r="BE125" s="24"/>
      <c r="BF125" s="24"/>
      <c r="BG125" s="24"/>
      <c r="BH125" s="22"/>
      <c r="BI125" s="24"/>
      <c r="BJ125" s="24"/>
      <c r="BK125" s="24"/>
      <c r="BL125" s="21"/>
      <c r="BM125" s="24"/>
      <c r="BN125" s="27"/>
      <c r="BO125" s="27"/>
      <c r="BP125" s="27"/>
      <c r="BQ125" s="27"/>
      <c r="BR125" s="23">
        <f>'BCB-DBGG-trimestral'!B67</f>
        <v>8347113.9940188602</v>
      </c>
      <c r="BS125" s="29">
        <f>'BCB-DBGG-trimestral'!C67</f>
        <v>75.094185266344596</v>
      </c>
    </row>
    <row r="126" spans="2:73">
      <c r="B126" s="30" t="s">
        <v>155</v>
      </c>
      <c r="C126" s="192">
        <v>2921229.4173872578</v>
      </c>
      <c r="D126" s="190"/>
      <c r="E126" s="190"/>
      <c r="F126" s="191"/>
      <c r="G126" s="190">
        <v>1.5248492200546471</v>
      </c>
      <c r="H126" s="193">
        <v>545214.65700000001</v>
      </c>
      <c r="I126" s="191">
        <f t="shared" si="14"/>
        <v>18.663876714196551</v>
      </c>
      <c r="J126" s="192">
        <v>1828527.7354017252</v>
      </c>
      <c r="K126" s="191">
        <f t="shared" si="15"/>
        <v>62.594458501556403</v>
      </c>
      <c r="L126" s="193">
        <v>493781.76199999999</v>
      </c>
      <c r="M126" s="191">
        <f t="shared" si="16"/>
        <v>16.903217496749619</v>
      </c>
      <c r="N126" s="192">
        <v>537411.32999999996</v>
      </c>
      <c r="O126" s="191">
        <f t="shared" si="17"/>
        <v>18.396751956601193</v>
      </c>
      <c r="P126" s="185">
        <v>1.0535525553417102</v>
      </c>
      <c r="Q126" s="18">
        <v>10.5</v>
      </c>
      <c r="R126" s="18">
        <v>27.872565135369154</v>
      </c>
      <c r="S126" s="18"/>
      <c r="T126" s="187">
        <v>5.4572600000000007</v>
      </c>
      <c r="U126" s="194">
        <v>559085</v>
      </c>
      <c r="V126" s="194">
        <v>-9175.7892884100002</v>
      </c>
      <c r="W126" s="195">
        <f t="shared" si="18"/>
        <v>-1.6412154302851982</v>
      </c>
      <c r="X126" s="194">
        <v>-4274.6242309600002</v>
      </c>
      <c r="Y126" s="195">
        <f t="shared" si="19"/>
        <v>-0.76457501649301984</v>
      </c>
      <c r="Z126" s="194">
        <v>-14149.026554120004</v>
      </c>
      <c r="AA126" s="195">
        <f t="shared" si="20"/>
        <v>-2.5307469444038033</v>
      </c>
      <c r="AB126" s="194">
        <v>-698.61303475000409</v>
      </c>
      <c r="AC126" s="195">
        <f t="shared" si="21"/>
        <v>-0.12495649762558539</v>
      </c>
      <c r="AD126" s="194">
        <v>357827</v>
      </c>
      <c r="AE126" s="194">
        <v>15.842158833772155</v>
      </c>
      <c r="AF126" s="194"/>
      <c r="AG126" s="194"/>
      <c r="AH126" s="194">
        <v>17922.987281540001</v>
      </c>
      <c r="AI126" s="195">
        <f t="shared" si="13"/>
        <v>3.2057714446890908</v>
      </c>
      <c r="AJ126" s="20"/>
      <c r="AK126" s="26"/>
      <c r="AL126" s="5"/>
      <c r="AM126" s="26"/>
      <c r="AN126" s="26"/>
      <c r="AO126" s="26"/>
      <c r="AP126" s="26"/>
      <c r="AQ126" s="26"/>
      <c r="AR126" s="25"/>
      <c r="AS126" s="25"/>
      <c r="AT126" s="25"/>
      <c r="AU126" s="26"/>
      <c r="AV126" s="26"/>
      <c r="AW126" s="26"/>
      <c r="AX126" s="25"/>
      <c r="AY126" s="26"/>
      <c r="AZ126" s="22"/>
      <c r="BA126" s="24"/>
      <c r="BB126" s="21"/>
      <c r="BC126" s="24"/>
      <c r="BD126" s="22"/>
      <c r="BE126" s="24"/>
      <c r="BF126" s="24"/>
      <c r="BG126" s="24"/>
      <c r="BH126" s="22"/>
      <c r="BI126" s="24"/>
      <c r="BJ126" s="24"/>
      <c r="BK126" s="24"/>
      <c r="BL126" s="21"/>
      <c r="BM126" s="24"/>
      <c r="BN126" s="27"/>
      <c r="BO126" s="27"/>
      <c r="BP126" s="27"/>
      <c r="BQ126" s="27"/>
      <c r="BR126" s="23">
        <f>'BCB-DBGG-trimestral'!B68</f>
        <v>8691534.9535065498</v>
      </c>
      <c r="BS126" s="29">
        <f>'BCB-DBGG-trimestral'!C68</f>
        <v>76.853830970742393</v>
      </c>
      <c r="BU126" s="10"/>
    </row>
    <row r="127" spans="2:73">
      <c r="B127" s="30" t="s">
        <v>156</v>
      </c>
      <c r="C127" s="192">
        <v>2989913.3547878624</v>
      </c>
      <c r="D127" s="190"/>
      <c r="E127" s="190"/>
      <c r="F127" s="191"/>
      <c r="G127" s="190">
        <v>0.78963293764833242</v>
      </c>
      <c r="H127" s="193">
        <v>535100.96400000004</v>
      </c>
      <c r="I127" s="191">
        <f t="shared" si="14"/>
        <v>17.896871932530168</v>
      </c>
      <c r="J127" s="192">
        <v>1915960.5206283596</v>
      </c>
      <c r="K127" s="191">
        <f t="shared" si="15"/>
        <v>64.080804133011384</v>
      </c>
      <c r="L127" s="193">
        <v>565752.25300000003</v>
      </c>
      <c r="M127" s="191">
        <f t="shared" si="16"/>
        <v>18.922028362261379</v>
      </c>
      <c r="N127" s="192">
        <v>562215.598</v>
      </c>
      <c r="O127" s="191">
        <f t="shared" si="17"/>
        <v>18.803742158604784</v>
      </c>
      <c r="P127" s="185">
        <v>0.8015547049561178</v>
      </c>
      <c r="Q127" s="18">
        <v>10.75</v>
      </c>
      <c r="R127" s="18">
        <v>27.422288066567504</v>
      </c>
      <c r="S127" s="18"/>
      <c r="T127" s="187">
        <v>5.4694900000000004</v>
      </c>
      <c r="U127" s="194">
        <v>537840</v>
      </c>
      <c r="V127" s="194">
        <v>-21161.068610809998</v>
      </c>
      <c r="W127" s="195">
        <f t="shared" si="18"/>
        <v>-3.934454226314517</v>
      </c>
      <c r="X127" s="194">
        <v>-4173.0651864800002</v>
      </c>
      <c r="Y127" s="195">
        <f t="shared" si="19"/>
        <v>-0.77589342304030939</v>
      </c>
      <c r="Z127" s="194">
        <v>-29651.182220000002</v>
      </c>
      <c r="AA127" s="195">
        <f t="shared" si="20"/>
        <v>-5.513011717239328</v>
      </c>
      <c r="AB127" s="194">
        <v>-4317.0484227100033</v>
      </c>
      <c r="AC127" s="195">
        <f t="shared" si="21"/>
        <v>-0.80266406788450162</v>
      </c>
      <c r="AD127" s="194">
        <v>372016</v>
      </c>
      <c r="AE127" s="194">
        <v>16.685115185134023</v>
      </c>
      <c r="AF127" s="194"/>
      <c r="AG127" s="194"/>
      <c r="AH127" s="194">
        <v>20591.371295880002</v>
      </c>
      <c r="AI127" s="195">
        <f t="shared" si="13"/>
        <v>3.8285310307675151</v>
      </c>
      <c r="AJ127" s="20"/>
      <c r="AK127" s="26"/>
      <c r="AL127" s="5"/>
      <c r="AM127" s="26"/>
      <c r="AN127" s="26"/>
      <c r="AO127" s="26"/>
      <c r="AP127" s="26"/>
      <c r="AQ127" s="26"/>
      <c r="AR127" s="25"/>
      <c r="AS127" s="25"/>
      <c r="AT127" s="25"/>
      <c r="AU127" s="26"/>
      <c r="AV127" s="26"/>
      <c r="AW127" s="26"/>
      <c r="AX127" s="25"/>
      <c r="AY127" s="26"/>
      <c r="AZ127" s="22"/>
      <c r="BA127" s="24"/>
      <c r="BB127" s="21"/>
      <c r="BC127" s="24"/>
      <c r="BD127" s="22"/>
      <c r="BE127" s="24"/>
      <c r="BF127" s="24"/>
      <c r="BG127" s="24"/>
      <c r="BH127" s="22"/>
      <c r="BI127" s="24"/>
      <c r="BJ127" s="24"/>
      <c r="BK127" s="24"/>
      <c r="BL127" s="21"/>
      <c r="BM127" s="24"/>
      <c r="BN127" s="27"/>
      <c r="BO127" s="27"/>
      <c r="BP127" s="27"/>
      <c r="BQ127" s="27"/>
      <c r="BR127" s="23">
        <f>'BCB-DBGG-trimestral'!B69</f>
        <v>8928002.7107838616</v>
      </c>
      <c r="BS127" s="29">
        <f>'BCB-DBGG-trimestral'!C69</f>
        <v>77.435199309145659</v>
      </c>
    </row>
    <row r="128" spans="2:73">
      <c r="B128" s="30" t="s">
        <v>157</v>
      </c>
      <c r="C128" s="192">
        <v>3080367.48641012</v>
      </c>
      <c r="D128" s="190"/>
      <c r="E128" s="190"/>
      <c r="F128" s="191"/>
      <c r="G128" s="190">
        <v>6.4402840771471404E-2</v>
      </c>
      <c r="H128" s="193">
        <v>660167.62100000004</v>
      </c>
      <c r="I128" s="191">
        <f t="shared" si="14"/>
        <v>21.431456600957816</v>
      </c>
      <c r="J128" s="192">
        <v>1966673.6523317425</v>
      </c>
      <c r="K128" s="191">
        <f t="shared" si="15"/>
        <v>63.84542302203419</v>
      </c>
      <c r="L128" s="193">
        <v>567542.57400000002</v>
      </c>
      <c r="M128" s="191">
        <f t="shared" si="16"/>
        <v>18.424508650473317</v>
      </c>
      <c r="N128" s="192">
        <v>561905.68099999998</v>
      </c>
      <c r="O128" s="191">
        <f t="shared" si="17"/>
        <v>18.241514477704364</v>
      </c>
      <c r="P128" s="185">
        <v>1.4770299336158388</v>
      </c>
      <c r="Q128" s="18">
        <v>12.25</v>
      </c>
      <c r="R128" s="18">
        <v>28.475203512534407</v>
      </c>
      <c r="S128" s="18"/>
      <c r="T128" s="187">
        <v>6.1657600000000006</v>
      </c>
      <c r="U128" s="194">
        <v>526647</v>
      </c>
      <c r="V128" s="194">
        <v>-22041.851752939998</v>
      </c>
      <c r="W128" s="195">
        <f t="shared" si="18"/>
        <v>-4.1853180124333758</v>
      </c>
      <c r="X128" s="194">
        <v>-3545.5427907100002</v>
      </c>
      <c r="Y128" s="195">
        <f t="shared" si="19"/>
        <v>-0.67322946693136021</v>
      </c>
      <c r="Z128" s="194">
        <v>-25757.282125359998</v>
      </c>
      <c r="AA128" s="195">
        <f t="shared" si="20"/>
        <v>-4.8908058197160518</v>
      </c>
      <c r="AB128" s="194">
        <v>-169.88758170999972</v>
      </c>
      <c r="AC128" s="195">
        <f t="shared" si="21"/>
        <v>-3.2258340351316861E-2</v>
      </c>
      <c r="AD128" s="194">
        <v>329730</v>
      </c>
      <c r="AE128" s="194">
        <v>15.13623437223853</v>
      </c>
      <c r="AF128" s="194"/>
      <c r="AG128" s="194"/>
      <c r="AH128" s="194">
        <v>12522.546657309998</v>
      </c>
      <c r="AI128" s="195">
        <f t="shared" si="13"/>
        <v>2.3777875232005496</v>
      </c>
      <c r="AJ128" s="20"/>
      <c r="AK128" s="26"/>
      <c r="AL128" s="5"/>
      <c r="AM128" s="26"/>
      <c r="AN128" s="26"/>
      <c r="AO128" s="26"/>
      <c r="AP128" s="26"/>
      <c r="AQ128" s="26"/>
      <c r="AR128" s="25"/>
      <c r="AS128" s="25"/>
      <c r="AT128" s="25"/>
      <c r="AU128" s="26"/>
      <c r="AV128" s="26"/>
      <c r="AW128" s="26"/>
      <c r="AX128" s="25"/>
      <c r="AY128" s="26"/>
      <c r="AZ128" s="22"/>
      <c r="BA128" s="24"/>
      <c r="BB128" s="21"/>
      <c r="BC128" s="24"/>
      <c r="BD128" s="22"/>
      <c r="BE128" s="24"/>
      <c r="BF128" s="24"/>
      <c r="BG128" s="24"/>
      <c r="BH128" s="22"/>
      <c r="BI128" s="24"/>
      <c r="BJ128" s="24"/>
      <c r="BK128" s="24"/>
      <c r="BL128" s="21"/>
      <c r="BM128" s="24"/>
      <c r="BN128" s="27"/>
      <c r="BO128" s="27"/>
      <c r="BP128" s="27"/>
      <c r="BQ128" s="27"/>
      <c r="BR128" s="23">
        <f>'BCB-DBGG-trimestral'!B70</f>
        <v>8984236.5944496114</v>
      </c>
      <c r="BS128" s="29">
        <f>'BCB-DBGG-trimestral'!C70</f>
        <v>76.496027253631354</v>
      </c>
    </row>
    <row r="129" spans="1:71">
      <c r="B129" s="30" t="s">
        <v>150</v>
      </c>
      <c r="C129" s="192">
        <v>3019578.8504199916</v>
      </c>
      <c r="D129" s="190"/>
      <c r="E129" s="190"/>
      <c r="F129" s="191"/>
      <c r="G129" s="190">
        <v>1.307392264960483</v>
      </c>
      <c r="H129" s="193">
        <v>517268.55200000003</v>
      </c>
      <c r="I129" s="191">
        <f t="shared" si="14"/>
        <v>17.130486654721846</v>
      </c>
      <c r="J129" s="192">
        <v>1933978.0617158411</v>
      </c>
      <c r="K129" s="191">
        <f t="shared" si="15"/>
        <v>64.047940375752901</v>
      </c>
      <c r="L129" s="192">
        <v>568480.83400000003</v>
      </c>
      <c r="M129" s="191">
        <f t="shared" si="16"/>
        <v>18.826494096053505</v>
      </c>
      <c r="N129" s="192">
        <v>533917.56900000002</v>
      </c>
      <c r="O129" s="191">
        <f t="shared" si="17"/>
        <v>17.681855498681141</v>
      </c>
      <c r="P129" s="185">
        <v>2.0404196887543122</v>
      </c>
      <c r="Q129" s="18">
        <v>14.25</v>
      </c>
      <c r="R129" s="18">
        <v>31.219428910972091</v>
      </c>
      <c r="S129" s="18"/>
      <c r="T129" s="187">
        <v>5.7162699999999997</v>
      </c>
      <c r="U129" s="194">
        <v>515753</v>
      </c>
      <c r="V129" s="194">
        <v>-23223.549356430001</v>
      </c>
      <c r="W129" s="195">
        <f t="shared" si="18"/>
        <v>-4.5028432905732014</v>
      </c>
      <c r="X129" s="194">
        <v>-2853.1735961900004</v>
      </c>
      <c r="Y129" s="195">
        <f t="shared" si="19"/>
        <v>-0.55320542899217273</v>
      </c>
      <c r="Z129" s="194">
        <v>-25774.671193049999</v>
      </c>
      <c r="AA129" s="195">
        <f t="shared" si="20"/>
        <v>-4.9974835227424759</v>
      </c>
      <c r="AB129" s="194">
        <v>302.05175957000245</v>
      </c>
      <c r="AC129" s="195">
        <f t="shared" si="21"/>
        <v>5.8565196822898249E-2</v>
      </c>
      <c r="AD129" s="194">
        <v>336157</v>
      </c>
      <c r="AE129" s="194">
        <v>15.713227303004452</v>
      </c>
      <c r="AF129" s="194"/>
      <c r="AG129" s="194"/>
      <c r="AH129" s="194">
        <v>23041.534932809998</v>
      </c>
      <c r="AI129" s="195">
        <f t="shared" si="13"/>
        <v>4.4675522842930624</v>
      </c>
      <c r="AJ129" s="20"/>
      <c r="AK129" s="26"/>
      <c r="AL129" s="5"/>
      <c r="AM129" s="26"/>
      <c r="AN129" s="26"/>
      <c r="AO129" s="26"/>
      <c r="AP129" s="26"/>
      <c r="AQ129" s="26"/>
      <c r="AR129" s="25"/>
      <c r="AS129" s="25"/>
      <c r="AT129" s="25"/>
      <c r="AU129" s="26"/>
      <c r="AV129" s="26"/>
      <c r="AW129" s="26"/>
      <c r="AX129" s="25"/>
      <c r="AY129" s="26"/>
      <c r="AZ129" s="22"/>
      <c r="BA129" s="24"/>
      <c r="BB129" s="21"/>
      <c r="BC129" s="24"/>
      <c r="BD129" s="22"/>
      <c r="BE129" s="24"/>
      <c r="BF129" s="24"/>
      <c r="BG129" s="24"/>
      <c r="BH129" s="22"/>
      <c r="BI129" s="24"/>
      <c r="BJ129" s="24"/>
      <c r="BK129" s="24"/>
      <c r="BL129" s="21"/>
      <c r="BM129" s="24"/>
      <c r="BN129" s="27"/>
      <c r="BO129" s="27"/>
      <c r="BP129" s="27"/>
      <c r="BQ129" s="27"/>
      <c r="BR129" s="23">
        <f>'BCB-DBGG-trimestral'!B71</f>
        <v>9095938.2658309918</v>
      </c>
      <c r="BS129" s="29">
        <f>'BCB-DBGG-trimestral'!C71</f>
        <v>75.729504487743739</v>
      </c>
    </row>
    <row r="130" spans="1:71">
      <c r="B130" s="30" t="s">
        <v>151</v>
      </c>
      <c r="C130" s="192">
        <v>3176745.1107056546</v>
      </c>
      <c r="D130" s="190"/>
      <c r="E130" s="190"/>
      <c r="F130" s="191"/>
      <c r="G130" s="190">
        <v>0.373009293033566</v>
      </c>
      <c r="H130" s="193">
        <v>583903.01199999999</v>
      </c>
      <c r="I130" s="191">
        <f t="shared" si="14"/>
        <v>18.380543343947945</v>
      </c>
      <c r="J130" s="192">
        <v>1981934.3051411435</v>
      </c>
      <c r="K130" s="191">
        <f t="shared" si="15"/>
        <v>62.388836248209223</v>
      </c>
      <c r="L130" s="192">
        <v>552675.59199999995</v>
      </c>
      <c r="M130" s="191">
        <f t="shared" si="16"/>
        <v>17.397542854082914</v>
      </c>
      <c r="N130" s="192">
        <v>581342.98800000001</v>
      </c>
      <c r="O130" s="191">
        <f t="shared" si="17"/>
        <v>18.299956960376512</v>
      </c>
      <c r="P130" s="185">
        <v>0.9328703256419999</v>
      </c>
      <c r="Q130" s="18">
        <v>15</v>
      </c>
      <c r="R130" s="18">
        <v>31.681988968902775</v>
      </c>
      <c r="S130" s="18"/>
      <c r="T130" s="187">
        <v>5.4978499999999988</v>
      </c>
      <c r="U130" s="194">
        <v>559132</v>
      </c>
      <c r="V130" s="194">
        <v>-11397.872782109993</v>
      </c>
      <c r="W130" s="195">
        <f t="shared" si="18"/>
        <v>-2.0384940912181726</v>
      </c>
      <c r="X130" s="194">
        <v>-3638.6221697100004</v>
      </c>
      <c r="Y130" s="195">
        <f t="shared" si="19"/>
        <v>-0.65076264097028969</v>
      </c>
      <c r="Z130" s="194">
        <v>-12504.599510139999</v>
      </c>
      <c r="AA130" s="195">
        <f t="shared" si="20"/>
        <v>-2.236430665771231</v>
      </c>
      <c r="AB130" s="194">
        <v>2531.8954416799943</v>
      </c>
      <c r="AC130" s="195">
        <f t="shared" si="21"/>
        <v>0.45282606641723144</v>
      </c>
      <c r="AD130" s="194">
        <v>344440</v>
      </c>
      <c r="AE130" s="194">
        <v>16.100051790899386</v>
      </c>
      <c r="AF130" s="194"/>
      <c r="AG130" s="194"/>
      <c r="AH130" s="194">
        <v>12963.156852149998</v>
      </c>
      <c r="AI130" s="195">
        <f t="shared" si="13"/>
        <v>2.3184430245720149</v>
      </c>
      <c r="AJ130" s="20"/>
      <c r="AK130" s="26"/>
      <c r="AL130" s="5"/>
      <c r="AM130" s="26"/>
      <c r="AN130" s="26"/>
      <c r="AO130" s="26"/>
      <c r="AP130" s="26"/>
      <c r="AQ130" s="26"/>
      <c r="AR130" s="25"/>
      <c r="AS130" s="25"/>
      <c r="AT130" s="25"/>
      <c r="AU130" s="26"/>
      <c r="AV130" s="26"/>
      <c r="AW130" s="26"/>
      <c r="AX130" s="25"/>
      <c r="AY130" s="26"/>
      <c r="AZ130" s="22"/>
      <c r="BA130" s="24"/>
      <c r="BB130" s="21"/>
      <c r="BC130" s="24"/>
      <c r="BD130" s="22"/>
      <c r="BE130" s="24"/>
      <c r="BF130" s="24"/>
      <c r="BG130" s="24"/>
      <c r="BH130" s="22"/>
      <c r="BI130" s="24"/>
      <c r="BJ130" s="24"/>
      <c r="BK130" s="24"/>
      <c r="BL130" s="21"/>
      <c r="BM130" s="24"/>
      <c r="BN130" s="27"/>
      <c r="BO130" s="27"/>
      <c r="BP130" s="27"/>
      <c r="BQ130" s="27"/>
      <c r="BR130" s="23">
        <f>'BCB-DBGG-trimestral'!B72</f>
        <v>9388792.9238834511</v>
      </c>
      <c r="BS130" s="29">
        <f>'BCB-DBGG-trimestral'!C72</f>
        <v>76.539458759647815</v>
      </c>
    </row>
    <row r="131" spans="1:71">
      <c r="B131" s="30" t="s">
        <v>152</v>
      </c>
      <c r="C131" s="13"/>
      <c r="D131" s="13"/>
      <c r="E131" s="13"/>
      <c r="F131" s="15"/>
      <c r="G131" s="13"/>
      <c r="H131" s="13"/>
      <c r="I131" s="13"/>
      <c r="J131" s="13"/>
      <c r="K131" s="13"/>
      <c r="L131" s="13"/>
      <c r="M131" s="13"/>
      <c r="N131" s="14"/>
      <c r="O131" s="15"/>
      <c r="P131" s="185">
        <v>0.63025008990874198</v>
      </c>
      <c r="Q131" s="18">
        <v>15</v>
      </c>
      <c r="R131" s="18">
        <v>31.373449839960067</v>
      </c>
      <c r="S131" s="18"/>
      <c r="T131" s="187">
        <v>5.3221399999999992</v>
      </c>
      <c r="U131" s="194">
        <v>587032</v>
      </c>
      <c r="V131" s="194">
        <v>-22284.052482039991</v>
      </c>
      <c r="W131" s="195">
        <f t="shared" si="18"/>
        <v>-3.7960541302756905</v>
      </c>
      <c r="X131" s="194">
        <v>-4702.4871383999998</v>
      </c>
      <c r="Y131" s="195">
        <f t="shared" si="19"/>
        <v>-0.80106146486051866</v>
      </c>
      <c r="Z131" s="194">
        <v>-27555.294851860002</v>
      </c>
      <c r="AA131" s="195">
        <f t="shared" si="20"/>
        <v>-4.6940021756667445</v>
      </c>
      <c r="AB131" s="194">
        <v>-568.7552314200118</v>
      </c>
      <c r="AC131" s="195">
        <f t="shared" si="21"/>
        <v>-9.6886580530535268E-2</v>
      </c>
      <c r="AD131" s="194">
        <v>356582</v>
      </c>
      <c r="AE131" s="194">
        <v>16.292966529651405</v>
      </c>
      <c r="AF131" s="194"/>
      <c r="AG131" s="194"/>
      <c r="AH131" s="194">
        <v>27315.662828270004</v>
      </c>
      <c r="AI131" s="195">
        <f t="shared" si="13"/>
        <v>4.6531812283265657</v>
      </c>
      <c r="AJ131" s="20"/>
      <c r="AK131" s="26"/>
      <c r="AL131" s="5"/>
      <c r="AM131" s="26"/>
      <c r="AN131" s="26"/>
      <c r="AO131" s="26"/>
      <c r="AP131" s="26"/>
      <c r="AQ131" s="26"/>
      <c r="AR131" s="25"/>
      <c r="AS131" s="25"/>
      <c r="AT131" s="25"/>
      <c r="AU131" s="26"/>
      <c r="AV131" s="26"/>
      <c r="AW131" s="26"/>
      <c r="AX131" s="25"/>
      <c r="AY131" s="26"/>
      <c r="AZ131" s="22"/>
      <c r="BA131" s="24"/>
      <c r="BB131" s="21"/>
      <c r="BC131" s="24"/>
      <c r="BD131" s="22"/>
      <c r="BE131" s="24"/>
      <c r="BF131" s="24"/>
      <c r="BG131" s="24"/>
      <c r="BH131" s="22"/>
      <c r="BI131" s="24"/>
      <c r="BJ131" s="24"/>
      <c r="BK131" s="24"/>
      <c r="BL131" s="21"/>
      <c r="BM131" s="24"/>
      <c r="BN131" s="27"/>
      <c r="BO131" s="27"/>
      <c r="BP131" s="27"/>
      <c r="BQ131" s="27"/>
      <c r="BR131" s="23"/>
      <c r="BS131" s="29"/>
    </row>
    <row r="132" spans="1:71" ht="14.25" customHeight="1">
      <c r="A132" s="32"/>
      <c r="B132" s="30" t="s">
        <v>153</v>
      </c>
      <c r="C132" s="13"/>
      <c r="D132" s="13"/>
      <c r="E132" s="13"/>
      <c r="F132" s="15"/>
      <c r="G132" s="13"/>
      <c r="H132" s="13"/>
      <c r="I132" s="13"/>
      <c r="J132" s="13"/>
      <c r="K132" s="13"/>
      <c r="L132" s="13"/>
      <c r="M132" s="13"/>
      <c r="N132" s="14"/>
      <c r="O132" s="15"/>
      <c r="P132" s="18"/>
      <c r="Q132" s="18"/>
      <c r="R132" s="18"/>
      <c r="S132" s="18"/>
      <c r="T132" s="18"/>
      <c r="U132" s="28"/>
      <c r="V132" s="28"/>
      <c r="W132" s="28"/>
      <c r="X132" s="28"/>
      <c r="Y132" s="28"/>
      <c r="Z132" s="28"/>
      <c r="AA132" s="28"/>
      <c r="AB132" s="28"/>
      <c r="AC132" s="28"/>
      <c r="AD132" s="28"/>
      <c r="AE132" s="28"/>
      <c r="AF132" s="28"/>
      <c r="AG132" s="28"/>
      <c r="AH132" s="28"/>
      <c r="AI132" s="28"/>
      <c r="AJ132" s="20"/>
      <c r="AK132" s="26"/>
      <c r="AL132" s="5"/>
      <c r="AM132" s="26"/>
      <c r="AN132" s="26"/>
      <c r="AO132" s="26"/>
      <c r="AP132" s="26"/>
      <c r="AQ132" s="26"/>
      <c r="AR132" s="25"/>
      <c r="AS132" s="25"/>
      <c r="AT132" s="25"/>
      <c r="AU132" s="26"/>
      <c r="AV132" s="26"/>
      <c r="AW132" s="26"/>
      <c r="AX132" s="25"/>
      <c r="AY132" s="26"/>
      <c r="AZ132" s="22"/>
      <c r="BA132" s="24"/>
      <c r="BB132" s="21"/>
      <c r="BC132" s="24"/>
      <c r="BD132" s="22"/>
      <c r="BE132" s="24"/>
      <c r="BF132" s="24"/>
      <c r="BG132" s="24"/>
      <c r="BH132" s="22"/>
      <c r="BI132" s="24"/>
      <c r="BJ132" s="24"/>
      <c r="BK132" s="24"/>
      <c r="BL132" s="21"/>
      <c r="BM132" s="24"/>
      <c r="BN132" s="27"/>
      <c r="BO132" s="27"/>
      <c r="BP132" s="27"/>
      <c r="BQ132" s="27"/>
      <c r="BR132" s="23"/>
      <c r="BS132" s="29"/>
    </row>
    <row r="133" spans="1:71">
      <c r="A133" s="179" t="s">
        <v>60</v>
      </c>
      <c r="B133" s="31" t="s">
        <v>274</v>
      </c>
      <c r="C133" s="11"/>
      <c r="D133" s="11"/>
      <c r="E133" s="11"/>
      <c r="F133" s="11"/>
      <c r="G133" s="16"/>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row>
    <row r="134" spans="1:71">
      <c r="A134" s="179"/>
      <c r="B134" s="31" t="s">
        <v>275</v>
      </c>
      <c r="C134" s="11"/>
      <c r="D134" s="11"/>
      <c r="E134" s="11"/>
      <c r="F134" s="11"/>
      <c r="G134" s="16"/>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row>
    <row r="135" spans="1:71">
      <c r="A135" s="179"/>
      <c r="B135" s="31" t="s">
        <v>276</v>
      </c>
      <c r="C135" s="11"/>
      <c r="D135" s="11"/>
      <c r="E135" s="11"/>
      <c r="F135" s="11"/>
      <c r="G135" s="16"/>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row>
    <row r="136" spans="1:71">
      <c r="A136" s="179"/>
      <c r="B136" s="31" t="s">
        <v>277</v>
      </c>
      <c r="C136" s="11"/>
      <c r="D136" s="11"/>
      <c r="E136" s="11"/>
      <c r="F136" s="11"/>
      <c r="G136" s="16"/>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row>
    <row r="137" spans="1:71">
      <c r="A137" s="179"/>
      <c r="B137" s="31" t="s">
        <v>278</v>
      </c>
      <c r="C137" s="11"/>
      <c r="D137" s="11"/>
      <c r="E137" s="11"/>
      <c r="F137" s="11"/>
      <c r="G137" s="16"/>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row>
    <row r="138" spans="1:71">
      <c r="A138" s="179"/>
      <c r="B138" s="31" t="s">
        <v>279</v>
      </c>
      <c r="C138" s="11"/>
      <c r="D138" s="11"/>
      <c r="E138" s="11"/>
      <c r="F138" s="11"/>
      <c r="G138" s="16"/>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row>
    <row r="139" spans="1:71">
      <c r="A139" s="179"/>
      <c r="B139" s="31" t="s">
        <v>280</v>
      </c>
      <c r="C139" s="11"/>
      <c r="D139" s="11"/>
      <c r="E139" s="11"/>
      <c r="F139" s="11"/>
      <c r="G139" s="16"/>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row>
    <row r="140" spans="1:71">
      <c r="A140" s="179"/>
      <c r="B140" s="31" t="s">
        <v>281</v>
      </c>
      <c r="C140" s="11"/>
      <c r="D140" s="11"/>
      <c r="E140" s="11"/>
      <c r="F140" s="11"/>
      <c r="G140" s="16"/>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row>
    <row r="141" spans="1:71">
      <c r="A141" s="179"/>
      <c r="B141" s="31" t="s">
        <v>282</v>
      </c>
      <c r="C141" s="11"/>
      <c r="D141" s="11"/>
      <c r="E141" s="11"/>
      <c r="F141" s="11"/>
      <c r="G141" s="16"/>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row>
    <row r="142" spans="1:71">
      <c r="A142" s="179"/>
      <c r="B142" s="31" t="s">
        <v>283</v>
      </c>
      <c r="C142" s="11"/>
      <c r="D142" s="11"/>
      <c r="E142" s="11"/>
      <c r="F142" s="11"/>
      <c r="G142" s="16"/>
      <c r="H142" s="11"/>
      <c r="I142" s="16"/>
      <c r="J142" s="16"/>
      <c r="K142" s="16"/>
      <c r="L142" s="16"/>
      <c r="M142" s="16"/>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row>
    <row r="143" spans="1:71">
      <c r="A143" s="179"/>
      <c r="B143" s="31" t="s">
        <v>284</v>
      </c>
      <c r="C143" s="11"/>
      <c r="D143" s="11"/>
      <c r="E143" s="11"/>
      <c r="F143" s="11"/>
      <c r="G143" s="16"/>
      <c r="H143" s="11"/>
      <c r="I143" s="16"/>
      <c r="J143" s="16"/>
      <c r="K143" s="16"/>
      <c r="L143" s="16"/>
      <c r="M143" s="16"/>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row>
    <row r="144" spans="1:71">
      <c r="A144" s="179"/>
      <c r="B144" s="31" t="s">
        <v>285</v>
      </c>
      <c r="C144" s="11"/>
      <c r="D144" s="11"/>
      <c r="E144" s="11"/>
      <c r="F144" s="11"/>
      <c r="G144" s="16"/>
      <c r="H144" s="11"/>
      <c r="I144" s="16"/>
      <c r="J144" s="16"/>
      <c r="K144" s="16"/>
      <c r="L144" s="16"/>
      <c r="M144" s="16"/>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row>
    <row r="145" spans="9:19">
      <c r="I145" s="17"/>
      <c r="J145" s="17"/>
      <c r="K145" s="17"/>
      <c r="L145" s="17"/>
      <c r="M145" s="17"/>
    </row>
    <row r="146" spans="9:19">
      <c r="I146" s="17"/>
      <c r="J146" s="17"/>
      <c r="K146" s="17"/>
      <c r="L146" s="17"/>
      <c r="M146" s="17"/>
      <c r="R146" s="19"/>
      <c r="S146" s="19"/>
    </row>
    <row r="147" spans="9:19">
      <c r="I147" s="17"/>
      <c r="J147" s="17"/>
      <c r="K147" s="17"/>
      <c r="L147" s="17"/>
      <c r="M147" s="17"/>
      <c r="R147" s="19"/>
      <c r="S147" s="19"/>
    </row>
    <row r="148" spans="9:19">
      <c r="I148" s="17"/>
      <c r="J148" s="17"/>
      <c r="K148" s="17"/>
      <c r="L148" s="17"/>
      <c r="M148" s="17"/>
      <c r="R148" s="19"/>
      <c r="S148" s="19"/>
    </row>
    <row r="149" spans="9:19">
      <c r="I149" s="17"/>
      <c r="J149" s="17"/>
      <c r="K149" s="17"/>
      <c r="L149" s="17"/>
      <c r="M149" s="17"/>
      <c r="R149" s="19"/>
      <c r="S149" s="19"/>
    </row>
    <row r="150" spans="9:19">
      <c r="I150" s="17"/>
      <c r="J150" s="17"/>
      <c r="K150" s="17"/>
      <c r="L150" s="17"/>
      <c r="M150" s="17"/>
      <c r="R150" s="19"/>
      <c r="S150" s="19"/>
    </row>
    <row r="151" spans="9:19">
      <c r="I151" s="17"/>
      <c r="J151" s="17"/>
      <c r="K151" s="17"/>
      <c r="L151" s="17"/>
      <c r="M151" s="17"/>
      <c r="R151" s="19"/>
      <c r="S151" s="19"/>
    </row>
    <row r="152" spans="9:19">
      <c r="I152" s="17"/>
      <c r="J152" s="17"/>
      <c r="K152" s="17"/>
      <c r="L152" s="17"/>
      <c r="M152" s="17"/>
      <c r="R152" s="19"/>
      <c r="S152" s="19"/>
    </row>
    <row r="153" spans="9:19">
      <c r="I153" s="17"/>
      <c r="J153" s="17"/>
      <c r="K153" s="17"/>
      <c r="L153" s="17"/>
      <c r="M153" s="17"/>
      <c r="R153" s="19"/>
      <c r="S153" s="19"/>
    </row>
    <row r="154" spans="9:19">
      <c r="I154" s="17"/>
      <c r="J154" s="17"/>
      <c r="K154" s="17"/>
      <c r="L154" s="17"/>
      <c r="M154" s="17"/>
      <c r="R154" s="19"/>
      <c r="S154" s="19"/>
    </row>
    <row r="155" spans="9:19">
      <c r="I155" s="17"/>
      <c r="J155" s="17"/>
      <c r="K155" s="17"/>
      <c r="L155" s="17"/>
      <c r="M155" s="17"/>
      <c r="R155" s="19"/>
      <c r="S155" s="19"/>
    </row>
    <row r="156" spans="9:19">
      <c r="I156" s="17"/>
      <c r="J156" s="17"/>
      <c r="K156" s="17"/>
      <c r="L156" s="17"/>
      <c r="M156" s="17"/>
      <c r="R156" s="19"/>
      <c r="S156" s="19"/>
    </row>
    <row r="157" spans="9:19">
      <c r="I157" s="17"/>
      <c r="J157" s="17"/>
      <c r="K157" s="17"/>
      <c r="L157" s="17"/>
      <c r="M157" s="17"/>
      <c r="R157" s="19"/>
      <c r="S157" s="19"/>
    </row>
    <row r="158" spans="9:19">
      <c r="I158" s="17"/>
      <c r="J158" s="17"/>
      <c r="K158" s="17"/>
      <c r="L158" s="17"/>
      <c r="M158" s="17"/>
      <c r="R158" s="19"/>
      <c r="S158" s="19"/>
    </row>
    <row r="159" spans="9:19">
      <c r="I159" s="17"/>
      <c r="J159" s="17"/>
      <c r="K159" s="17"/>
      <c r="L159" s="17"/>
      <c r="M159" s="17"/>
      <c r="R159" s="19"/>
      <c r="S159" s="19"/>
    </row>
    <row r="160" spans="9:19">
      <c r="I160" s="17"/>
      <c r="J160" s="17"/>
      <c r="K160" s="17"/>
      <c r="L160" s="17"/>
      <c r="M160" s="17"/>
      <c r="R160" s="19"/>
      <c r="S160" s="19"/>
    </row>
    <row r="161" spans="9:19">
      <c r="I161" s="17"/>
      <c r="J161" s="17"/>
      <c r="K161" s="17"/>
      <c r="L161" s="17"/>
      <c r="M161" s="17"/>
      <c r="R161" s="19"/>
      <c r="S161" s="19"/>
    </row>
    <row r="162" spans="9:19">
      <c r="R162" s="19"/>
      <c r="S162" s="19"/>
    </row>
    <row r="163" spans="9:19">
      <c r="R163" s="19"/>
      <c r="S163" s="19"/>
    </row>
    <row r="164" spans="9:19">
      <c r="R164" s="19"/>
      <c r="S164" s="19"/>
    </row>
    <row r="165" spans="9:19">
      <c r="R165" s="19"/>
      <c r="S165" s="19"/>
    </row>
    <row r="166" spans="9:19">
      <c r="R166" s="19"/>
      <c r="S166" s="19"/>
    </row>
    <row r="167" spans="9:19">
      <c r="R167" s="19"/>
      <c r="S167" s="19"/>
    </row>
    <row r="168" spans="9:19">
      <c r="R168" s="19"/>
      <c r="S168" s="19"/>
    </row>
    <row r="169" spans="9:19">
      <c r="R169" s="19"/>
      <c r="S169" s="19"/>
    </row>
    <row r="170" spans="9:19">
      <c r="R170" s="19"/>
      <c r="S170" s="19"/>
    </row>
    <row r="171" spans="9:19">
      <c r="R171" s="19"/>
      <c r="S171" s="19"/>
    </row>
    <row r="172" spans="9:19">
      <c r="R172" s="19"/>
      <c r="S172" s="19"/>
    </row>
    <row r="173" spans="9:19">
      <c r="R173" s="19"/>
      <c r="S173" s="19"/>
    </row>
    <row r="174" spans="9:19">
      <c r="R174" s="19"/>
      <c r="S174" s="19"/>
    </row>
    <row r="175" spans="9:19">
      <c r="R175" s="19"/>
      <c r="S175" s="19"/>
    </row>
    <row r="176" spans="9:19">
      <c r="R176" s="19"/>
      <c r="S176" s="19"/>
    </row>
    <row r="177" spans="18:19">
      <c r="R177" s="19"/>
      <c r="S177" s="19"/>
    </row>
    <row r="178" spans="18:19">
      <c r="R178" s="19"/>
      <c r="S178" s="19"/>
    </row>
    <row r="179" spans="18:19">
      <c r="R179" s="19"/>
      <c r="S179" s="19"/>
    </row>
    <row r="180" spans="18:19">
      <c r="R180" s="19"/>
      <c r="S180" s="19"/>
    </row>
    <row r="181" spans="18:19">
      <c r="R181" s="19"/>
      <c r="S181" s="19"/>
    </row>
    <row r="182" spans="18:19">
      <c r="R182" s="19"/>
      <c r="S182" s="19"/>
    </row>
    <row r="183" spans="18:19">
      <c r="R183" s="19"/>
      <c r="S183" s="19"/>
    </row>
    <row r="184" spans="18:19">
      <c r="R184" s="19"/>
      <c r="S184" s="19"/>
    </row>
    <row r="185" spans="18:19">
      <c r="R185" s="19"/>
      <c r="S185" s="19"/>
    </row>
    <row r="186" spans="18:19">
      <c r="R186" s="19"/>
      <c r="S186" s="19"/>
    </row>
    <row r="187" spans="18:19">
      <c r="R187" s="19"/>
      <c r="S187" s="19"/>
    </row>
    <row r="188" spans="18:19">
      <c r="R188" s="19"/>
      <c r="S188" s="19"/>
    </row>
  </sheetData>
  <mergeCells count="5">
    <mergeCell ref="A133:A144"/>
    <mergeCell ref="P7:T7"/>
    <mergeCell ref="AJ7:BS7"/>
    <mergeCell ref="C7:O7"/>
    <mergeCell ref="V7:A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99FBD-E735-4096-9A95-360196F40C9F}">
  <sheetPr>
    <tabColor theme="9"/>
  </sheetPr>
  <dimension ref="A2:CE107"/>
  <sheetViews>
    <sheetView showGridLines="0" tabSelected="1" zoomScale="110" zoomScaleNormal="110" workbookViewId="0">
      <pane xSplit="2" ySplit="8" topLeftCell="M48" activePane="bottomRight" state="frozen"/>
      <selection pane="topRight" activeCell="B1" sqref="B1"/>
      <selection pane="bottomLeft" activeCell="A3" sqref="A3"/>
      <selection pane="bottomRight" activeCell="O5" sqref="O5"/>
    </sheetView>
  </sheetViews>
  <sheetFormatPr defaultColWidth="10.7109375" defaultRowHeight="15"/>
  <cols>
    <col min="1" max="1" width="14.7109375" customWidth="1"/>
    <col min="2" max="2" width="14.28515625" bestFit="1" customWidth="1"/>
    <col min="3" max="3" width="12.28515625" bestFit="1" customWidth="1"/>
    <col min="7" max="7" width="10.7109375" style="17"/>
    <col min="8" max="8" width="11.42578125" customWidth="1"/>
    <col min="12" max="12" width="13.28515625" customWidth="1"/>
    <col min="14" max="14" width="14" customWidth="1"/>
    <col min="15" max="15" width="12.42578125" customWidth="1"/>
    <col min="21" max="22" width="11.42578125" customWidth="1"/>
    <col min="23" max="23" width="12.28515625" bestFit="1" customWidth="1"/>
    <col min="24" max="24" width="11.42578125" customWidth="1"/>
    <col min="25" max="25" width="12.28515625" bestFit="1" customWidth="1"/>
    <col min="26" max="35" width="12.28515625" customWidth="1"/>
    <col min="36" max="37" width="13.42578125" customWidth="1"/>
    <col min="38" max="38" width="11.42578125" customWidth="1"/>
    <col min="40" max="40" width="11.28515625" bestFit="1" customWidth="1"/>
    <col min="42" max="42" width="11.42578125" customWidth="1"/>
    <col min="44" max="44" width="11.42578125" customWidth="1"/>
    <col min="46" max="46" width="11.42578125" customWidth="1"/>
    <col min="50" max="50" width="11.42578125" customWidth="1"/>
    <col min="52" max="55" width="13.42578125" customWidth="1"/>
    <col min="56" max="56" width="11.42578125" customWidth="1"/>
    <col min="60" max="60" width="11.42578125" customWidth="1"/>
    <col min="64" max="64" width="11.42578125" customWidth="1"/>
    <col min="66" max="66" width="11.42578125" customWidth="1"/>
    <col min="68" max="68" width="11.42578125" customWidth="1"/>
    <col min="70" max="70" width="13.42578125" customWidth="1"/>
    <col min="71" max="71" width="14.42578125" customWidth="1"/>
    <col min="74" max="79" width="13.28515625" customWidth="1"/>
  </cols>
  <sheetData>
    <row r="2" spans="1:83" ht="23.25">
      <c r="A2" s="12" t="s">
        <v>74</v>
      </c>
    </row>
    <row r="4" spans="1:83" ht="18.75">
      <c r="A4" s="33" t="s">
        <v>0</v>
      </c>
    </row>
    <row r="7" spans="1:83" ht="30" customHeight="1">
      <c r="C7" s="182" t="s">
        <v>1</v>
      </c>
      <c r="D7" s="182"/>
      <c r="E7" s="182"/>
      <c r="F7" s="182"/>
      <c r="G7" s="182"/>
      <c r="H7" s="182"/>
      <c r="I7" s="182"/>
      <c r="J7" s="182"/>
      <c r="K7" s="182"/>
      <c r="L7" s="182"/>
      <c r="M7" s="182"/>
      <c r="N7" s="182"/>
      <c r="O7" s="182"/>
      <c r="P7" s="180" t="s">
        <v>2</v>
      </c>
      <c r="Q7" s="180"/>
      <c r="R7" s="180"/>
      <c r="S7" s="180"/>
      <c r="T7" s="180"/>
      <c r="U7" s="178"/>
      <c r="V7" s="183" t="s">
        <v>3</v>
      </c>
      <c r="W7" s="183"/>
      <c r="X7" s="183"/>
      <c r="Y7" s="183"/>
      <c r="Z7" s="183"/>
      <c r="AA7" s="183"/>
      <c r="AB7" s="183"/>
      <c r="AC7" s="183"/>
      <c r="AD7" s="183"/>
      <c r="AE7" s="183"/>
      <c r="AF7" s="183"/>
      <c r="AG7" s="183"/>
      <c r="AH7" s="183"/>
      <c r="AI7" s="183"/>
      <c r="AJ7" s="181" t="s">
        <v>4</v>
      </c>
      <c r="AK7" s="181"/>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c r="BL7" s="181"/>
      <c r="BM7" s="181"/>
      <c r="BN7" s="181"/>
      <c r="BO7" s="181"/>
      <c r="BP7" s="181"/>
      <c r="BQ7" s="181"/>
      <c r="BR7" s="181"/>
      <c r="BS7" s="181"/>
    </row>
    <row r="8" spans="1:83" ht="90">
      <c r="B8" s="1" t="s">
        <v>5</v>
      </c>
      <c r="C8" s="2" t="s">
        <v>6</v>
      </c>
      <c r="D8" s="2" t="s">
        <v>7</v>
      </c>
      <c r="E8" s="2" t="s">
        <v>8</v>
      </c>
      <c r="F8" s="2" t="s">
        <v>9</v>
      </c>
      <c r="G8" s="13" t="s">
        <v>10</v>
      </c>
      <c r="H8" s="2" t="s">
        <v>11</v>
      </c>
      <c r="I8" s="2" t="s">
        <v>12</v>
      </c>
      <c r="J8" s="2" t="s">
        <v>61</v>
      </c>
      <c r="K8" s="2" t="s">
        <v>62</v>
      </c>
      <c r="L8" s="2" t="s">
        <v>13</v>
      </c>
      <c r="M8" s="2" t="s">
        <v>14</v>
      </c>
      <c r="N8" s="2" t="s">
        <v>15</v>
      </c>
      <c r="O8" s="2" t="s">
        <v>16</v>
      </c>
      <c r="P8" s="3" t="s">
        <v>17</v>
      </c>
      <c r="Q8" s="3" t="s">
        <v>18</v>
      </c>
      <c r="R8" s="3" t="s">
        <v>19</v>
      </c>
      <c r="S8" s="3" t="s">
        <v>20</v>
      </c>
      <c r="T8" s="3" t="s">
        <v>63</v>
      </c>
      <c r="U8" s="4" t="s">
        <v>565</v>
      </c>
      <c r="V8" s="4" t="s">
        <v>25</v>
      </c>
      <c r="W8" s="4" t="s">
        <v>26</v>
      </c>
      <c r="X8" s="4" t="s">
        <v>27</v>
      </c>
      <c r="Y8" s="4" t="s">
        <v>28</v>
      </c>
      <c r="Z8" s="4" t="s">
        <v>64</v>
      </c>
      <c r="AA8" s="4" t="s">
        <v>65</v>
      </c>
      <c r="AB8" s="4" t="s">
        <v>66</v>
      </c>
      <c r="AC8" s="4" t="s">
        <v>67</v>
      </c>
      <c r="AD8" s="4" t="s">
        <v>21</v>
      </c>
      <c r="AE8" s="4" t="s">
        <v>22</v>
      </c>
      <c r="AF8" s="4" t="s">
        <v>23</v>
      </c>
      <c r="AG8" s="4" t="s">
        <v>24</v>
      </c>
      <c r="AH8" s="4" t="s">
        <v>68</v>
      </c>
      <c r="AI8" s="4" t="s">
        <v>69</v>
      </c>
      <c r="AJ8" s="5" t="s">
        <v>29</v>
      </c>
      <c r="AK8" s="5" t="s">
        <v>30</v>
      </c>
      <c r="AL8" s="5" t="s">
        <v>31</v>
      </c>
      <c r="AM8" s="5" t="s">
        <v>32</v>
      </c>
      <c r="AN8" s="5" t="s">
        <v>33</v>
      </c>
      <c r="AO8" s="5" t="s">
        <v>34</v>
      </c>
      <c r="AP8" s="5" t="s">
        <v>35</v>
      </c>
      <c r="AQ8" s="5" t="s">
        <v>36</v>
      </c>
      <c r="AR8" s="5" t="s">
        <v>37</v>
      </c>
      <c r="AS8" s="5" t="s">
        <v>38</v>
      </c>
      <c r="AT8" s="5" t="s">
        <v>39</v>
      </c>
      <c r="AU8" s="5" t="s">
        <v>40</v>
      </c>
      <c r="AV8" s="5" t="s">
        <v>41</v>
      </c>
      <c r="AW8" s="5" t="s">
        <v>42</v>
      </c>
      <c r="AX8" s="5" t="s">
        <v>43</v>
      </c>
      <c r="AY8" s="5" t="s">
        <v>44</v>
      </c>
      <c r="AZ8" s="6" t="s">
        <v>45</v>
      </c>
      <c r="BA8" s="6" t="s">
        <v>46</v>
      </c>
      <c r="BB8" s="6" t="s">
        <v>47</v>
      </c>
      <c r="BC8" s="6" t="s">
        <v>48</v>
      </c>
      <c r="BD8" s="6" t="s">
        <v>49</v>
      </c>
      <c r="BE8" s="6" t="s">
        <v>50</v>
      </c>
      <c r="BF8" s="6" t="s">
        <v>72</v>
      </c>
      <c r="BG8" s="6" t="s">
        <v>73</v>
      </c>
      <c r="BH8" s="6" t="s">
        <v>51</v>
      </c>
      <c r="BI8" s="6" t="s">
        <v>52</v>
      </c>
      <c r="BJ8" s="6" t="s">
        <v>70</v>
      </c>
      <c r="BK8" s="6" t="s">
        <v>71</v>
      </c>
      <c r="BL8" s="6" t="s">
        <v>53</v>
      </c>
      <c r="BM8" s="6" t="s">
        <v>54</v>
      </c>
      <c r="BN8" s="7" t="s">
        <v>55</v>
      </c>
      <c r="BO8" s="7" t="s">
        <v>56</v>
      </c>
      <c r="BP8" s="7" t="s">
        <v>57</v>
      </c>
      <c r="BQ8" s="7" t="s">
        <v>58</v>
      </c>
      <c r="BR8" s="8" t="s">
        <v>286</v>
      </c>
      <c r="BS8" s="8" t="s">
        <v>59</v>
      </c>
      <c r="CB8" s="9"/>
      <c r="CC8" s="9"/>
      <c r="CD8" s="9"/>
      <c r="CE8" s="9"/>
    </row>
    <row r="9" spans="1:83">
      <c r="B9" s="30">
        <v>1981</v>
      </c>
      <c r="C9" s="79"/>
      <c r="D9" s="79"/>
      <c r="E9" s="79"/>
      <c r="F9" s="80"/>
      <c r="G9" s="79"/>
      <c r="H9" s="79"/>
      <c r="I9" s="79"/>
      <c r="J9" s="79"/>
      <c r="K9" s="79"/>
      <c r="L9" s="79"/>
      <c r="M9" s="79"/>
      <c r="N9" s="79"/>
      <c r="O9" s="80"/>
      <c r="P9" s="81">
        <v>95.623044237293698</v>
      </c>
      <c r="Q9" s="81"/>
      <c r="R9" s="81"/>
      <c r="S9" s="81"/>
      <c r="T9" s="81"/>
      <c r="U9" s="82"/>
      <c r="V9" s="82"/>
      <c r="W9" s="82"/>
      <c r="X9" s="82"/>
      <c r="Y9" s="82"/>
      <c r="Z9" s="82"/>
      <c r="AA9" s="82"/>
      <c r="AB9" s="82"/>
      <c r="AC9" s="82"/>
      <c r="AD9" s="82"/>
      <c r="AE9" s="82"/>
      <c r="AF9" s="82"/>
      <c r="AG9" s="82"/>
      <c r="AH9" s="82"/>
      <c r="AI9" s="82"/>
      <c r="AJ9" s="83"/>
      <c r="AK9" s="84"/>
      <c r="AL9" s="84"/>
      <c r="AM9" s="84"/>
      <c r="AN9" s="84"/>
      <c r="AO9" s="84"/>
      <c r="AP9" s="84"/>
      <c r="AQ9" s="84"/>
      <c r="AR9" s="83"/>
      <c r="AS9" s="83"/>
      <c r="AT9" s="83"/>
      <c r="AU9" s="84"/>
      <c r="AV9" s="84"/>
      <c r="AW9" s="84"/>
      <c r="AX9" s="83"/>
      <c r="AY9" s="84"/>
      <c r="AZ9" s="85"/>
      <c r="BA9" s="86"/>
      <c r="BB9" s="85"/>
      <c r="BC9" s="86"/>
      <c r="BD9" s="85"/>
      <c r="BE9" s="86"/>
      <c r="BF9" s="86"/>
      <c r="BG9" s="86"/>
      <c r="BH9" s="85"/>
      <c r="BI9" s="86"/>
      <c r="BJ9" s="86"/>
      <c r="BK9" s="86"/>
      <c r="BL9" s="85"/>
      <c r="BM9" s="86"/>
      <c r="BN9" s="87"/>
      <c r="BO9" s="87"/>
      <c r="BP9" s="87"/>
      <c r="BQ9" s="87"/>
      <c r="BR9" s="88"/>
      <c r="BS9" s="88"/>
      <c r="CB9" s="9"/>
      <c r="CC9" s="9"/>
      <c r="CD9" s="9"/>
      <c r="CE9" s="9"/>
    </row>
    <row r="10" spans="1:83">
      <c r="B10" s="30">
        <v>1982</v>
      </c>
      <c r="C10" s="79"/>
      <c r="D10" s="79"/>
      <c r="E10" s="79"/>
      <c r="F10" s="80"/>
      <c r="G10" s="79"/>
      <c r="H10" s="79"/>
      <c r="I10" s="79"/>
      <c r="J10" s="79"/>
      <c r="K10" s="79"/>
      <c r="L10" s="79"/>
      <c r="M10" s="79"/>
      <c r="N10" s="79"/>
      <c r="O10" s="80"/>
      <c r="P10" s="81">
        <v>104.79043327743091</v>
      </c>
      <c r="Q10" s="81"/>
      <c r="R10" s="81"/>
      <c r="S10" s="81"/>
      <c r="T10" s="81"/>
      <c r="U10" s="82"/>
      <c r="V10" s="82"/>
      <c r="W10" s="82"/>
      <c r="X10" s="82"/>
      <c r="Y10" s="82"/>
      <c r="Z10" s="82"/>
      <c r="AA10" s="82"/>
      <c r="AB10" s="82"/>
      <c r="AC10" s="82"/>
      <c r="AD10" s="82"/>
      <c r="AE10" s="82"/>
      <c r="AF10" s="82"/>
      <c r="AG10" s="82"/>
      <c r="AH10" s="82"/>
      <c r="AI10" s="82"/>
      <c r="AJ10" s="83"/>
      <c r="AK10" s="84"/>
      <c r="AL10" s="84"/>
      <c r="AM10" s="84"/>
      <c r="AN10" s="84"/>
      <c r="AO10" s="84"/>
      <c r="AP10" s="84"/>
      <c r="AQ10" s="84"/>
      <c r="AR10" s="83"/>
      <c r="AS10" s="83"/>
      <c r="AT10" s="83"/>
      <c r="AU10" s="84"/>
      <c r="AV10" s="84"/>
      <c r="AW10" s="84"/>
      <c r="AX10" s="83"/>
      <c r="AY10" s="84"/>
      <c r="AZ10" s="85"/>
      <c r="BA10" s="86"/>
      <c r="BB10" s="85"/>
      <c r="BC10" s="86"/>
      <c r="BD10" s="85"/>
      <c r="BE10" s="86"/>
      <c r="BF10" s="86"/>
      <c r="BG10" s="86"/>
      <c r="BH10" s="85"/>
      <c r="BI10" s="86"/>
      <c r="BJ10" s="86"/>
      <c r="BK10" s="86"/>
      <c r="BL10" s="85"/>
      <c r="BM10" s="86"/>
      <c r="BN10" s="87"/>
      <c r="BO10" s="87"/>
      <c r="BP10" s="87"/>
      <c r="BQ10" s="87"/>
      <c r="BR10" s="88"/>
      <c r="BS10" s="88"/>
      <c r="CB10" s="9"/>
      <c r="CC10" s="9"/>
      <c r="CD10" s="9"/>
      <c r="CE10" s="9"/>
    </row>
    <row r="11" spans="1:83">
      <c r="B11" s="30">
        <v>1983</v>
      </c>
      <c r="C11" s="79"/>
      <c r="D11" s="79"/>
      <c r="E11" s="79"/>
      <c r="F11" s="80"/>
      <c r="G11" s="79"/>
      <c r="H11" s="79"/>
      <c r="I11" s="79"/>
      <c r="J11" s="79"/>
      <c r="K11" s="79"/>
      <c r="L11" s="79"/>
      <c r="M11" s="79"/>
      <c r="N11" s="79"/>
      <c r="O11" s="80"/>
      <c r="P11" s="81">
        <v>164.01202400196013</v>
      </c>
      <c r="Q11" s="81"/>
      <c r="R11" s="81"/>
      <c r="S11" s="81"/>
      <c r="T11" s="81"/>
      <c r="U11" s="82"/>
      <c r="V11" s="82"/>
      <c r="W11" s="82"/>
      <c r="X11" s="82"/>
      <c r="Y11" s="82"/>
      <c r="Z11" s="82"/>
      <c r="AA11" s="82"/>
      <c r="AB11" s="82"/>
      <c r="AC11" s="82"/>
      <c r="AD11" s="82"/>
      <c r="AE11" s="82"/>
      <c r="AF11" s="82"/>
      <c r="AG11" s="82"/>
      <c r="AH11" s="82"/>
      <c r="AI11" s="82"/>
      <c r="AJ11" s="83"/>
      <c r="AK11" s="84"/>
      <c r="AL11" s="84"/>
      <c r="AM11" s="84"/>
      <c r="AN11" s="84"/>
      <c r="AO11" s="84"/>
      <c r="AP11" s="84"/>
      <c r="AQ11" s="84"/>
      <c r="AR11" s="83"/>
      <c r="AS11" s="83"/>
      <c r="AT11" s="83"/>
      <c r="AU11" s="84"/>
      <c r="AV11" s="84"/>
      <c r="AW11" s="84"/>
      <c r="AX11" s="83"/>
      <c r="AY11" s="84"/>
      <c r="AZ11" s="85"/>
      <c r="BA11" s="86"/>
      <c r="BB11" s="85"/>
      <c r="BC11" s="86"/>
      <c r="BD11" s="85"/>
      <c r="BE11" s="86"/>
      <c r="BF11" s="86"/>
      <c r="BG11" s="86"/>
      <c r="BH11" s="85"/>
      <c r="BI11" s="86"/>
      <c r="BJ11" s="86"/>
      <c r="BK11" s="86"/>
      <c r="BL11" s="85"/>
      <c r="BM11" s="86"/>
      <c r="BN11" s="87"/>
      <c r="BO11" s="87"/>
      <c r="BP11" s="87"/>
      <c r="BQ11" s="87"/>
      <c r="BR11" s="88"/>
      <c r="BS11" s="88"/>
      <c r="CB11" s="9"/>
      <c r="CC11" s="9"/>
      <c r="CD11" s="9"/>
      <c r="CE11" s="9"/>
    </row>
    <row r="12" spans="1:83">
      <c r="B12" s="30">
        <v>1984</v>
      </c>
      <c r="C12" s="79"/>
      <c r="D12" s="79"/>
      <c r="E12" s="79"/>
      <c r="F12" s="80"/>
      <c r="G12" s="79"/>
      <c r="H12" s="79"/>
      <c r="I12" s="79"/>
      <c r="J12" s="79"/>
      <c r="K12" s="79"/>
      <c r="L12" s="79"/>
      <c r="M12" s="79"/>
      <c r="N12" s="79"/>
      <c r="O12" s="80"/>
      <c r="P12" s="81">
        <v>215.26332573861635</v>
      </c>
      <c r="Q12" s="81"/>
      <c r="R12" s="81"/>
      <c r="S12" s="81"/>
      <c r="T12" s="81"/>
      <c r="U12" s="82"/>
      <c r="V12" s="82"/>
      <c r="W12" s="82"/>
      <c r="X12" s="82"/>
      <c r="Y12" s="82"/>
      <c r="Z12" s="82"/>
      <c r="AA12" s="82"/>
      <c r="AB12" s="82"/>
      <c r="AC12" s="82"/>
      <c r="AD12" s="82"/>
      <c r="AE12" s="82"/>
      <c r="AF12" s="82"/>
      <c r="AG12" s="82"/>
      <c r="AH12" s="82"/>
      <c r="AI12" s="82"/>
      <c r="AJ12" s="83"/>
      <c r="AK12" s="84"/>
      <c r="AL12" s="84"/>
      <c r="AM12" s="84"/>
      <c r="AN12" s="84"/>
      <c r="AO12" s="84"/>
      <c r="AP12" s="84"/>
      <c r="AQ12" s="84"/>
      <c r="AR12" s="83"/>
      <c r="AS12" s="83"/>
      <c r="AT12" s="83"/>
      <c r="AU12" s="84"/>
      <c r="AV12" s="84"/>
      <c r="AW12" s="84"/>
      <c r="AX12" s="83"/>
      <c r="AY12" s="84"/>
      <c r="AZ12" s="85"/>
      <c r="BA12" s="86"/>
      <c r="BB12" s="85"/>
      <c r="BC12" s="86"/>
      <c r="BD12" s="85"/>
      <c r="BE12" s="86"/>
      <c r="BF12" s="86"/>
      <c r="BG12" s="86"/>
      <c r="BH12" s="85"/>
      <c r="BI12" s="86"/>
      <c r="BJ12" s="86"/>
      <c r="BK12" s="86"/>
      <c r="BL12" s="85"/>
      <c r="BM12" s="86"/>
      <c r="BN12" s="87"/>
      <c r="BO12" s="87"/>
      <c r="BP12" s="87"/>
      <c r="BQ12" s="87"/>
      <c r="BR12" s="88"/>
      <c r="BS12" s="88"/>
      <c r="CB12" s="9"/>
      <c r="CC12" s="9"/>
      <c r="CD12" s="9"/>
      <c r="CE12" s="9"/>
    </row>
    <row r="13" spans="1:83">
      <c r="B13" s="30">
        <v>1985</v>
      </c>
      <c r="C13" s="79"/>
      <c r="D13" s="79"/>
      <c r="E13" s="79"/>
      <c r="F13" s="80"/>
      <c r="G13" s="79"/>
      <c r="H13" s="79"/>
      <c r="I13" s="79"/>
      <c r="J13" s="79"/>
      <c r="K13" s="79"/>
      <c r="L13" s="79"/>
      <c r="M13" s="79"/>
      <c r="N13" s="79"/>
      <c r="O13" s="80"/>
      <c r="P13" s="81">
        <v>242.2297952073659</v>
      </c>
      <c r="Q13" s="81"/>
      <c r="R13" s="81"/>
      <c r="S13" s="81"/>
      <c r="T13" s="81"/>
      <c r="U13" s="82"/>
      <c r="V13" s="82"/>
      <c r="W13" s="82"/>
      <c r="X13" s="82"/>
      <c r="Y13" s="82"/>
      <c r="Z13" s="82"/>
      <c r="AA13" s="82"/>
      <c r="AB13" s="82"/>
      <c r="AC13" s="82"/>
      <c r="AD13" s="82"/>
      <c r="AE13" s="82"/>
      <c r="AF13" s="82"/>
      <c r="AG13" s="82"/>
      <c r="AH13" s="82"/>
      <c r="AI13" s="82"/>
      <c r="AJ13" s="83"/>
      <c r="AK13" s="84"/>
      <c r="AL13" s="84"/>
      <c r="AM13" s="84"/>
      <c r="AN13" s="84"/>
      <c r="AO13" s="84"/>
      <c r="AP13" s="84"/>
      <c r="AQ13" s="84"/>
      <c r="AR13" s="83"/>
      <c r="AS13" s="83"/>
      <c r="AT13" s="83"/>
      <c r="AU13" s="84"/>
      <c r="AV13" s="84"/>
      <c r="AW13" s="84"/>
      <c r="AX13" s="83"/>
      <c r="AY13" s="84"/>
      <c r="AZ13" s="85"/>
      <c r="BA13" s="86"/>
      <c r="BB13" s="85"/>
      <c r="BC13" s="86"/>
      <c r="BD13" s="85"/>
      <c r="BE13" s="86"/>
      <c r="BF13" s="86"/>
      <c r="BG13" s="86"/>
      <c r="BH13" s="85"/>
      <c r="BI13" s="86"/>
      <c r="BJ13" s="86"/>
      <c r="BK13" s="86"/>
      <c r="BL13" s="85"/>
      <c r="BM13" s="86"/>
      <c r="BN13" s="87"/>
      <c r="BO13" s="87"/>
      <c r="BP13" s="87"/>
      <c r="BQ13" s="87"/>
      <c r="BR13" s="88"/>
      <c r="BS13" s="88"/>
      <c r="CB13" s="9"/>
      <c r="CC13" s="9"/>
      <c r="CD13" s="9"/>
      <c r="CE13" s="9"/>
    </row>
    <row r="14" spans="1:83">
      <c r="B14" s="30">
        <v>1986</v>
      </c>
      <c r="C14" s="79"/>
      <c r="D14" s="79"/>
      <c r="E14" s="79"/>
      <c r="F14" s="80"/>
      <c r="G14" s="79"/>
      <c r="H14" s="79"/>
      <c r="I14" s="79"/>
      <c r="J14" s="79"/>
      <c r="K14" s="79"/>
      <c r="L14" s="79"/>
      <c r="M14" s="79"/>
      <c r="N14" s="79"/>
      <c r="O14" s="80"/>
      <c r="P14" s="81">
        <v>79.664496864508209</v>
      </c>
      <c r="Q14" s="81"/>
      <c r="R14" s="81"/>
      <c r="S14" s="81"/>
      <c r="T14" s="81"/>
      <c r="U14" s="82"/>
      <c r="V14" s="82"/>
      <c r="W14" s="82"/>
      <c r="X14" s="82"/>
      <c r="Y14" s="82"/>
      <c r="Z14" s="82"/>
      <c r="AA14" s="82"/>
      <c r="AB14" s="82"/>
      <c r="AC14" s="82"/>
      <c r="AD14" s="82"/>
      <c r="AE14" s="82"/>
      <c r="AF14" s="82"/>
      <c r="AG14" s="82"/>
      <c r="AH14" s="82"/>
      <c r="AI14" s="82"/>
      <c r="AJ14" s="83"/>
      <c r="AK14" s="84"/>
      <c r="AL14" s="84"/>
      <c r="AM14" s="84"/>
      <c r="AN14" s="84"/>
      <c r="AO14" s="84"/>
      <c r="AP14" s="84"/>
      <c r="AQ14" s="84"/>
      <c r="AR14" s="83"/>
      <c r="AS14" s="83"/>
      <c r="AT14" s="83"/>
      <c r="AU14" s="84"/>
      <c r="AV14" s="84"/>
      <c r="AW14" s="84"/>
      <c r="AX14" s="83"/>
      <c r="AY14" s="84"/>
      <c r="AZ14" s="85"/>
      <c r="BA14" s="86"/>
      <c r="BB14" s="85"/>
      <c r="BC14" s="86"/>
      <c r="BD14" s="85"/>
      <c r="BE14" s="86"/>
      <c r="BF14" s="86"/>
      <c r="BG14" s="86"/>
      <c r="BH14" s="85"/>
      <c r="BI14" s="86"/>
      <c r="BJ14" s="86"/>
      <c r="BK14" s="86"/>
      <c r="BL14" s="85"/>
      <c r="BM14" s="86"/>
      <c r="BN14" s="87"/>
      <c r="BO14" s="87"/>
      <c r="BP14" s="87"/>
      <c r="BQ14" s="87"/>
      <c r="BR14" s="88"/>
      <c r="BS14" s="88"/>
      <c r="CB14" s="9"/>
      <c r="CC14" s="9"/>
      <c r="CD14" s="9"/>
      <c r="CE14" s="9"/>
    </row>
    <row r="15" spans="1:83">
      <c r="B15" s="30">
        <v>1987</v>
      </c>
      <c r="C15" s="79"/>
      <c r="D15" s="79"/>
      <c r="E15" s="79"/>
      <c r="F15" s="80"/>
      <c r="G15" s="79"/>
      <c r="H15" s="79"/>
      <c r="I15" s="79"/>
      <c r="J15" s="79"/>
      <c r="K15" s="79"/>
      <c r="L15" s="79"/>
      <c r="M15" s="79"/>
      <c r="N15" s="79"/>
      <c r="O15" s="80"/>
      <c r="P15" s="81">
        <v>363.41152370573184</v>
      </c>
      <c r="Q15" s="81"/>
      <c r="R15" s="81"/>
      <c r="S15" s="81"/>
      <c r="T15" s="81"/>
      <c r="U15" s="82"/>
      <c r="V15" s="82"/>
      <c r="W15" s="82"/>
      <c r="X15" s="82"/>
      <c r="Y15" s="82"/>
      <c r="Z15" s="82"/>
      <c r="AA15" s="82"/>
      <c r="AB15" s="82"/>
      <c r="AC15" s="82"/>
      <c r="AD15" s="82"/>
      <c r="AE15" s="82"/>
      <c r="AF15" s="82"/>
      <c r="AG15" s="82"/>
      <c r="AH15" s="82"/>
      <c r="AI15" s="82"/>
      <c r="AJ15" s="83"/>
      <c r="AK15" s="84"/>
      <c r="AL15" s="84"/>
      <c r="AM15" s="84"/>
      <c r="AN15" s="84"/>
      <c r="AO15" s="84"/>
      <c r="AP15" s="84"/>
      <c r="AQ15" s="84"/>
      <c r="AR15" s="83"/>
      <c r="AS15" s="83"/>
      <c r="AT15" s="83"/>
      <c r="AU15" s="84"/>
      <c r="AV15" s="84"/>
      <c r="AW15" s="84"/>
      <c r="AX15" s="83"/>
      <c r="AY15" s="84"/>
      <c r="AZ15" s="85"/>
      <c r="BA15" s="86"/>
      <c r="BB15" s="85"/>
      <c r="BC15" s="86"/>
      <c r="BD15" s="85"/>
      <c r="BE15" s="86"/>
      <c r="BF15" s="86"/>
      <c r="BG15" s="86"/>
      <c r="BH15" s="85"/>
      <c r="BI15" s="86"/>
      <c r="BJ15" s="86"/>
      <c r="BK15" s="86"/>
      <c r="BL15" s="85"/>
      <c r="BM15" s="86"/>
      <c r="BN15" s="87"/>
      <c r="BO15" s="87"/>
      <c r="BP15" s="87"/>
      <c r="BQ15" s="87"/>
      <c r="BR15" s="88"/>
      <c r="BS15" s="88"/>
      <c r="CB15" s="9"/>
      <c r="CC15" s="9"/>
      <c r="CD15" s="9"/>
      <c r="CE15" s="9"/>
    </row>
    <row r="16" spans="1:83">
      <c r="B16" s="30">
        <v>1988</v>
      </c>
      <c r="C16" s="79"/>
      <c r="D16" s="79"/>
      <c r="E16" s="79"/>
      <c r="F16" s="80"/>
      <c r="G16" s="79"/>
      <c r="H16" s="79"/>
      <c r="I16" s="79"/>
      <c r="J16" s="79"/>
      <c r="K16" s="79"/>
      <c r="L16" s="79"/>
      <c r="M16" s="79"/>
      <c r="N16" s="79"/>
      <c r="O16" s="80"/>
      <c r="P16" s="81">
        <v>980.21348713188854</v>
      </c>
      <c r="Q16" s="81"/>
      <c r="R16" s="81"/>
      <c r="S16" s="81"/>
      <c r="T16" s="81"/>
      <c r="U16" s="82"/>
      <c r="V16" s="82"/>
      <c r="W16" s="82"/>
      <c r="X16" s="82"/>
      <c r="Y16" s="82"/>
      <c r="Z16" s="82"/>
      <c r="AA16" s="82"/>
      <c r="AB16" s="82"/>
      <c r="AC16" s="82"/>
      <c r="AD16" s="82"/>
      <c r="AE16" s="82"/>
      <c r="AF16" s="82"/>
      <c r="AG16" s="82"/>
      <c r="AH16" s="82"/>
      <c r="AI16" s="82"/>
      <c r="AJ16" s="83"/>
      <c r="AK16" s="84"/>
      <c r="AL16" s="84"/>
      <c r="AM16" s="84"/>
      <c r="AN16" s="84"/>
      <c r="AO16" s="84"/>
      <c r="AP16" s="84"/>
      <c r="AQ16" s="84"/>
      <c r="AR16" s="83"/>
      <c r="AS16" s="83"/>
      <c r="AT16" s="83"/>
      <c r="AU16" s="84"/>
      <c r="AV16" s="84"/>
      <c r="AW16" s="84"/>
      <c r="AX16" s="83"/>
      <c r="AY16" s="84"/>
      <c r="AZ16" s="85"/>
      <c r="BA16" s="86"/>
      <c r="BB16" s="85"/>
      <c r="BC16" s="86"/>
      <c r="BD16" s="85"/>
      <c r="BE16" s="86"/>
      <c r="BF16" s="86"/>
      <c r="BG16" s="86"/>
      <c r="BH16" s="85"/>
      <c r="BI16" s="86"/>
      <c r="BJ16" s="86"/>
      <c r="BK16" s="86"/>
      <c r="BL16" s="85"/>
      <c r="BM16" s="86"/>
      <c r="BN16" s="87"/>
      <c r="BO16" s="87"/>
      <c r="BP16" s="87"/>
      <c r="BQ16" s="87"/>
      <c r="BR16" s="88"/>
      <c r="BS16" s="88"/>
      <c r="CB16" s="9"/>
      <c r="CC16" s="9"/>
      <c r="CD16" s="9"/>
      <c r="CE16" s="9"/>
    </row>
    <row r="17" spans="2:83">
      <c r="B17" s="30">
        <v>1989</v>
      </c>
      <c r="C17" s="79"/>
      <c r="D17" s="79"/>
      <c r="E17" s="79"/>
      <c r="F17" s="80"/>
      <c r="G17" s="79"/>
      <c r="H17" s="79"/>
      <c r="I17" s="79"/>
      <c r="J17" s="79"/>
      <c r="K17" s="79"/>
      <c r="L17" s="79"/>
      <c r="M17" s="79"/>
      <c r="N17" s="79"/>
      <c r="O17" s="80"/>
      <c r="P17" s="81">
        <v>1972.9116233347172</v>
      </c>
      <c r="Q17" s="81"/>
      <c r="R17" s="81"/>
      <c r="S17" s="81"/>
      <c r="T17" s="81"/>
      <c r="U17" s="82"/>
      <c r="V17" s="82"/>
      <c r="W17" s="82"/>
      <c r="X17" s="82"/>
      <c r="Y17" s="82"/>
      <c r="Z17" s="82"/>
      <c r="AA17" s="82"/>
      <c r="AB17" s="82"/>
      <c r="AC17" s="82"/>
      <c r="AD17" s="82"/>
      <c r="AE17" s="82"/>
      <c r="AF17" s="82"/>
      <c r="AG17" s="82"/>
      <c r="AH17" s="82"/>
      <c r="AI17" s="82"/>
      <c r="AJ17" s="83"/>
      <c r="AK17" s="84"/>
      <c r="AL17" s="84"/>
      <c r="AM17" s="84"/>
      <c r="AN17" s="84"/>
      <c r="AO17" s="84"/>
      <c r="AP17" s="84"/>
      <c r="AQ17" s="84"/>
      <c r="AR17" s="83"/>
      <c r="AS17" s="83"/>
      <c r="AT17" s="83"/>
      <c r="AU17" s="84"/>
      <c r="AV17" s="84"/>
      <c r="AW17" s="84"/>
      <c r="AX17" s="83"/>
      <c r="AY17" s="84"/>
      <c r="AZ17" s="85"/>
      <c r="BA17" s="86"/>
      <c r="BB17" s="85"/>
      <c r="BC17" s="86"/>
      <c r="BD17" s="85"/>
      <c r="BE17" s="86"/>
      <c r="BF17" s="86"/>
      <c r="BG17" s="86"/>
      <c r="BH17" s="85"/>
      <c r="BI17" s="86"/>
      <c r="BJ17" s="86"/>
      <c r="BK17" s="86"/>
      <c r="BL17" s="85"/>
      <c r="BM17" s="86"/>
      <c r="BN17" s="87"/>
      <c r="BO17" s="87"/>
      <c r="BP17" s="87"/>
      <c r="BQ17" s="87"/>
      <c r="BR17" s="88"/>
      <c r="BS17" s="88"/>
      <c r="CB17" s="9"/>
      <c r="CC17" s="9"/>
      <c r="CD17" s="9"/>
      <c r="CE17" s="9"/>
    </row>
    <row r="18" spans="2:83">
      <c r="B18" s="30">
        <v>1990</v>
      </c>
      <c r="C18" s="79"/>
      <c r="D18" s="79"/>
      <c r="E18" s="79"/>
      <c r="F18" s="80"/>
      <c r="G18" s="79"/>
      <c r="H18" s="79"/>
      <c r="I18" s="79"/>
      <c r="J18" s="79"/>
      <c r="K18" s="79"/>
      <c r="L18" s="79"/>
      <c r="M18" s="79"/>
      <c r="N18" s="79"/>
      <c r="O18" s="80"/>
      <c r="P18" s="81">
        <v>1620.9664681249453</v>
      </c>
      <c r="Q18" s="81"/>
      <c r="R18" s="81"/>
      <c r="S18" s="81"/>
      <c r="T18" s="81"/>
      <c r="U18" s="197">
        <v>469318</v>
      </c>
      <c r="V18" s="82"/>
      <c r="W18" s="82"/>
      <c r="X18" s="82"/>
      <c r="Y18" s="82"/>
      <c r="Z18" s="82"/>
      <c r="AA18" s="82"/>
      <c r="AB18" s="82"/>
      <c r="AC18" s="82"/>
      <c r="AD18" s="197">
        <v>9973</v>
      </c>
      <c r="AE18" s="82">
        <f>AD18/U18*100</f>
        <v>2.124998401936427</v>
      </c>
      <c r="AF18" s="82"/>
      <c r="AG18" s="82"/>
      <c r="AH18" s="82"/>
      <c r="AI18" s="82"/>
      <c r="AJ18" s="83"/>
      <c r="AK18" s="84"/>
      <c r="AL18" s="84"/>
      <c r="AM18" s="84"/>
      <c r="AN18" s="84"/>
      <c r="AO18" s="84"/>
      <c r="AP18" s="84"/>
      <c r="AQ18" s="84"/>
      <c r="AR18" s="83"/>
      <c r="AS18" s="83"/>
      <c r="AT18" s="83"/>
      <c r="AU18" s="84"/>
      <c r="AV18" s="84"/>
      <c r="AW18" s="84"/>
      <c r="AX18" s="83"/>
      <c r="AY18" s="84"/>
      <c r="AZ18" s="85"/>
      <c r="BA18" s="86"/>
      <c r="BB18" s="85"/>
      <c r="BC18" s="86"/>
      <c r="BD18" s="85"/>
      <c r="BE18" s="86"/>
      <c r="BF18" s="86"/>
      <c r="BG18" s="86"/>
      <c r="BH18" s="85"/>
      <c r="BI18" s="86"/>
      <c r="BJ18" s="86"/>
      <c r="BK18" s="86"/>
      <c r="BL18" s="85"/>
      <c r="BM18" s="86"/>
      <c r="BN18" s="87"/>
      <c r="BO18" s="87"/>
      <c r="BP18" s="87"/>
      <c r="BQ18" s="87"/>
      <c r="BR18" s="88"/>
      <c r="BS18" s="88"/>
      <c r="CB18" s="9"/>
      <c r="CC18" s="9"/>
      <c r="CD18" s="9"/>
      <c r="CE18" s="9"/>
    </row>
    <row r="19" spans="2:83">
      <c r="B19" s="30">
        <v>1991</v>
      </c>
      <c r="C19" s="79"/>
      <c r="D19" s="79"/>
      <c r="E19" s="79"/>
      <c r="F19" s="80"/>
      <c r="G19" s="79"/>
      <c r="H19" s="79"/>
      <c r="I19" s="79"/>
      <c r="J19" s="79"/>
      <c r="K19" s="79"/>
      <c r="L19" s="79"/>
      <c r="M19" s="79"/>
      <c r="N19" s="79"/>
      <c r="O19" s="80"/>
      <c r="P19" s="81">
        <v>472.69999999960021</v>
      </c>
      <c r="Q19" s="81"/>
      <c r="R19" s="81"/>
      <c r="S19" s="81"/>
      <c r="T19" s="81"/>
      <c r="U19" s="197">
        <v>405679</v>
      </c>
      <c r="V19" s="82"/>
      <c r="W19" s="82"/>
      <c r="X19" s="82"/>
      <c r="Y19" s="82"/>
      <c r="Z19" s="82"/>
      <c r="AA19" s="82"/>
      <c r="AB19" s="82"/>
      <c r="AC19" s="82"/>
      <c r="AD19" s="197">
        <v>9406</v>
      </c>
      <c r="AE19" s="82">
        <f t="shared" ref="AE19:AE52" si="0">AD19/U19*100</f>
        <v>2.3185819330061452</v>
      </c>
      <c r="AF19" s="82"/>
      <c r="AG19" s="82"/>
      <c r="AH19" s="82"/>
      <c r="AI19" s="82"/>
      <c r="AJ19" s="83"/>
      <c r="AK19" s="84"/>
      <c r="AL19" s="84"/>
      <c r="AM19" s="84"/>
      <c r="AN19" s="84"/>
      <c r="AO19" s="84"/>
      <c r="AP19" s="84"/>
      <c r="AQ19" s="84"/>
      <c r="AR19" s="83"/>
      <c r="AS19" s="83"/>
      <c r="AT19" s="83"/>
      <c r="AU19" s="84"/>
      <c r="AV19" s="84"/>
      <c r="AW19" s="84"/>
      <c r="AX19" s="83"/>
      <c r="AY19" s="84"/>
      <c r="AZ19" s="85"/>
      <c r="BA19" s="86"/>
      <c r="BB19" s="85"/>
      <c r="BC19" s="86"/>
      <c r="BD19" s="85"/>
      <c r="BE19" s="86"/>
      <c r="BF19" s="86"/>
      <c r="BG19" s="86"/>
      <c r="BH19" s="85"/>
      <c r="BI19" s="86"/>
      <c r="BJ19" s="86"/>
      <c r="BK19" s="86"/>
      <c r="BL19" s="85"/>
      <c r="BM19" s="86"/>
      <c r="BN19" s="87"/>
      <c r="BO19" s="87"/>
      <c r="BP19" s="87"/>
      <c r="BQ19" s="87"/>
      <c r="BR19" s="88"/>
      <c r="BS19" s="88"/>
      <c r="CB19" s="9"/>
      <c r="CC19" s="9"/>
      <c r="CD19" s="9"/>
      <c r="CE19" s="9"/>
    </row>
    <row r="20" spans="2:83">
      <c r="B20" s="30">
        <v>1992</v>
      </c>
      <c r="C20" s="79"/>
      <c r="D20" s="79"/>
      <c r="E20" s="79"/>
      <c r="F20" s="80"/>
      <c r="G20" s="79"/>
      <c r="H20" s="79"/>
      <c r="I20" s="79"/>
      <c r="J20" s="79"/>
      <c r="K20" s="79"/>
      <c r="L20" s="79"/>
      <c r="M20" s="79"/>
      <c r="N20" s="79"/>
      <c r="O20" s="80"/>
      <c r="P20" s="81">
        <v>1119.1007508294347</v>
      </c>
      <c r="Q20" s="81"/>
      <c r="R20" s="81"/>
      <c r="S20" s="81">
        <v>1520.75</v>
      </c>
      <c r="T20" s="81"/>
      <c r="U20" s="197">
        <v>387295</v>
      </c>
      <c r="V20" s="82"/>
      <c r="W20" s="82"/>
      <c r="X20" s="82"/>
      <c r="Y20" s="82"/>
      <c r="Z20" s="82"/>
      <c r="AA20" s="82"/>
      <c r="AB20" s="82"/>
      <c r="AC20" s="82"/>
      <c r="AD20" s="197">
        <v>23754</v>
      </c>
      <c r="AE20" s="82">
        <f t="shared" si="0"/>
        <v>6.1333092345628009</v>
      </c>
      <c r="AF20" s="82"/>
      <c r="AG20" s="82"/>
      <c r="AH20" s="82"/>
      <c r="AI20" s="82"/>
      <c r="AJ20" s="83"/>
      <c r="AK20" s="84"/>
      <c r="AL20" s="84"/>
      <c r="AM20" s="84"/>
      <c r="AN20" s="84"/>
      <c r="AO20" s="84"/>
      <c r="AP20" s="84"/>
      <c r="AQ20" s="84"/>
      <c r="AR20" s="83"/>
      <c r="AS20" s="83"/>
      <c r="AT20" s="83"/>
      <c r="AU20" s="84"/>
      <c r="AV20" s="84"/>
      <c r="AW20" s="84"/>
      <c r="AX20" s="83"/>
      <c r="AY20" s="84"/>
      <c r="AZ20" s="85"/>
      <c r="BA20" s="86"/>
      <c r="BB20" s="85"/>
      <c r="BC20" s="86"/>
      <c r="BD20" s="85"/>
      <c r="BE20" s="86"/>
      <c r="BF20" s="86"/>
      <c r="BG20" s="86"/>
      <c r="BH20" s="85"/>
      <c r="BI20" s="86"/>
      <c r="BJ20" s="86"/>
      <c r="BK20" s="86"/>
      <c r="BL20" s="85"/>
      <c r="BM20" s="86"/>
      <c r="BN20" s="87"/>
      <c r="BO20" s="87"/>
      <c r="BP20" s="87"/>
      <c r="BQ20" s="87"/>
      <c r="BR20" s="88"/>
      <c r="BS20" s="88"/>
      <c r="CB20" s="9"/>
      <c r="CC20" s="9"/>
      <c r="CD20" s="9"/>
      <c r="CE20" s="9"/>
    </row>
    <row r="21" spans="2:83">
      <c r="B21" s="30">
        <v>1993</v>
      </c>
      <c r="C21" s="79"/>
      <c r="D21" s="79"/>
      <c r="E21" s="79"/>
      <c r="F21" s="80"/>
      <c r="G21" s="79"/>
      <c r="H21" s="79"/>
      <c r="I21" s="79"/>
      <c r="J21" s="79"/>
      <c r="K21" s="79"/>
      <c r="L21" s="79"/>
      <c r="M21" s="79"/>
      <c r="N21" s="79"/>
      <c r="O21" s="80"/>
      <c r="P21" s="81">
        <v>2477.1471212969782</v>
      </c>
      <c r="Q21" s="81"/>
      <c r="R21" s="81"/>
      <c r="S21" s="81">
        <v>4730.51</v>
      </c>
      <c r="T21" s="81"/>
      <c r="U21" s="197">
        <v>429685</v>
      </c>
      <c r="V21" s="82"/>
      <c r="W21" s="82"/>
      <c r="X21" s="82"/>
      <c r="Y21" s="82"/>
      <c r="Z21" s="82"/>
      <c r="AA21" s="82"/>
      <c r="AB21" s="82"/>
      <c r="AC21" s="82"/>
      <c r="AD21" s="197">
        <v>32211</v>
      </c>
      <c r="AE21" s="82">
        <f t="shared" si="0"/>
        <v>7.4964217973631841</v>
      </c>
      <c r="AF21" s="82"/>
      <c r="AG21" s="82"/>
      <c r="AH21" s="82"/>
      <c r="AI21" s="82"/>
      <c r="AJ21" s="83"/>
      <c r="AK21" s="84"/>
      <c r="AL21" s="84"/>
      <c r="AM21" s="84"/>
      <c r="AN21" s="84"/>
      <c r="AO21" s="84"/>
      <c r="AP21" s="84"/>
      <c r="AQ21" s="84"/>
      <c r="AR21" s="83"/>
      <c r="AS21" s="83"/>
      <c r="AT21" s="83"/>
      <c r="AU21" s="84"/>
      <c r="AV21" s="84"/>
      <c r="AW21" s="84"/>
      <c r="AX21" s="83"/>
      <c r="AY21" s="84"/>
      <c r="AZ21" s="85"/>
      <c r="BA21" s="86"/>
      <c r="BB21" s="85"/>
      <c r="BC21" s="86"/>
      <c r="BD21" s="85"/>
      <c r="BE21" s="86"/>
      <c r="BF21" s="86"/>
      <c r="BG21" s="86"/>
      <c r="BH21" s="85"/>
      <c r="BI21" s="86"/>
      <c r="BJ21" s="86"/>
      <c r="BK21" s="86"/>
      <c r="BL21" s="85"/>
      <c r="BM21" s="86"/>
      <c r="BN21" s="87"/>
      <c r="BO21" s="87"/>
      <c r="BP21" s="87"/>
      <c r="BQ21" s="87"/>
      <c r="BR21" s="88"/>
      <c r="BS21" s="88"/>
      <c r="CB21" s="9"/>
      <c r="CC21" s="9"/>
      <c r="CD21" s="9"/>
      <c r="CE21" s="9"/>
    </row>
    <row r="22" spans="2:83">
      <c r="B22" s="30">
        <v>1994</v>
      </c>
      <c r="C22" s="79"/>
      <c r="D22" s="79"/>
      <c r="E22" s="79"/>
      <c r="F22" s="80"/>
      <c r="G22" s="79"/>
      <c r="H22" s="79"/>
      <c r="I22" s="79"/>
      <c r="J22" s="79"/>
      <c r="K22" s="79"/>
      <c r="L22" s="89"/>
      <c r="M22" s="79"/>
      <c r="N22" s="79"/>
      <c r="O22" s="80"/>
      <c r="P22" s="81">
        <v>916.46</v>
      </c>
      <c r="Q22" s="81"/>
      <c r="R22" s="81"/>
      <c r="S22" s="81">
        <v>49.99</v>
      </c>
      <c r="T22" s="81">
        <v>0.85179999999999989</v>
      </c>
      <c r="U22" s="197">
        <v>543087</v>
      </c>
      <c r="V22" s="82"/>
      <c r="W22" s="82"/>
      <c r="X22" s="82"/>
      <c r="Y22" s="82"/>
      <c r="Z22" s="82"/>
      <c r="AA22" s="82"/>
      <c r="AB22" s="82"/>
      <c r="AC22" s="82"/>
      <c r="AD22" s="197">
        <v>38806</v>
      </c>
      <c r="AE22" s="82">
        <f t="shared" si="0"/>
        <v>7.145448151032892</v>
      </c>
      <c r="AF22" s="82"/>
      <c r="AG22" s="82"/>
      <c r="AH22" s="82"/>
      <c r="AI22" s="82"/>
      <c r="AJ22" s="83"/>
      <c r="AK22" s="84"/>
      <c r="AL22" s="84"/>
      <c r="AM22" s="84"/>
      <c r="AN22" s="84"/>
      <c r="AO22" s="84"/>
      <c r="AP22" s="84"/>
      <c r="AQ22" s="84"/>
      <c r="AR22" s="83"/>
      <c r="AS22" s="83"/>
      <c r="AT22" s="83"/>
      <c r="AU22" s="84"/>
      <c r="AV22" s="84"/>
      <c r="AW22" s="84"/>
      <c r="AX22" s="83"/>
      <c r="AY22" s="84"/>
      <c r="AZ22" s="85"/>
      <c r="BA22" s="86"/>
      <c r="BB22" s="85"/>
      <c r="BC22" s="86"/>
      <c r="BD22" s="85"/>
      <c r="BE22" s="86"/>
      <c r="BF22" s="86"/>
      <c r="BG22" s="86"/>
      <c r="BH22" s="85"/>
      <c r="BI22" s="86"/>
      <c r="BJ22" s="86"/>
      <c r="BK22" s="86"/>
      <c r="BL22" s="85"/>
      <c r="BM22" s="86"/>
      <c r="BN22" s="87"/>
      <c r="BO22" s="87"/>
      <c r="BP22" s="87"/>
      <c r="BQ22" s="87"/>
      <c r="BR22" s="88"/>
      <c r="BS22" s="88"/>
    </row>
    <row r="23" spans="2:83">
      <c r="B23" s="30">
        <v>1995</v>
      </c>
      <c r="C23" s="79">
        <v>705991.55286091799</v>
      </c>
      <c r="D23" s="79"/>
      <c r="E23" s="79"/>
      <c r="F23" s="80"/>
      <c r="G23" s="79"/>
      <c r="H23" s="196">
        <v>143219.54756080601</v>
      </c>
      <c r="I23" s="79">
        <f>H23/C23*100</f>
        <v>20.286297616512787</v>
      </c>
      <c r="J23" s="196">
        <v>449762.07590475498</v>
      </c>
      <c r="K23" s="79">
        <f>J23/C23*100</f>
        <v>63.706438707682267</v>
      </c>
      <c r="L23" s="196">
        <v>66755.631121209299</v>
      </c>
      <c r="M23" s="79">
        <f>L23/C23*100</f>
        <v>9.4555849642524432</v>
      </c>
      <c r="N23" s="196">
        <v>53153.2218317691</v>
      </c>
      <c r="O23" s="80">
        <f>N23/C23*100</f>
        <v>7.5288750433874396</v>
      </c>
      <c r="P23" s="81">
        <v>22.408161659091348</v>
      </c>
      <c r="Q23" s="81"/>
      <c r="R23" s="81"/>
      <c r="S23" s="81">
        <v>36.24</v>
      </c>
      <c r="T23" s="81">
        <v>0.96979000000000004</v>
      </c>
      <c r="U23" s="198">
        <v>770733</v>
      </c>
      <c r="V23" s="198">
        <v>-18712.421938015003</v>
      </c>
      <c r="W23" s="82">
        <f>V23/U23*100</f>
        <v>-2.4278734578660837</v>
      </c>
      <c r="X23" s="197">
        <v>18.013833300000002</v>
      </c>
      <c r="Y23" s="199">
        <f>X23/U23*100</f>
        <v>2.3372339448291435E-3</v>
      </c>
      <c r="Z23" s="197">
        <v>-16487.249311715001</v>
      </c>
      <c r="AA23" s="82">
        <f>Z23/U23*100</f>
        <v>-2.1391648355156714</v>
      </c>
      <c r="AB23" s="197">
        <v>2207.1587929999987</v>
      </c>
      <c r="AC23" s="82">
        <f>AB23/U23*100</f>
        <v>0.28637138840558257</v>
      </c>
      <c r="AD23" s="197">
        <v>51840</v>
      </c>
      <c r="AE23" s="82">
        <f t="shared" si="0"/>
        <v>6.7260646683092586</v>
      </c>
      <c r="AF23" s="82"/>
      <c r="AG23" s="82"/>
      <c r="AH23" s="197">
        <v>4383.4219999999996</v>
      </c>
      <c r="AI23" s="82">
        <f>AH23/U23*100</f>
        <v>0.56873417902178824</v>
      </c>
      <c r="AJ23" s="83"/>
      <c r="AK23" s="84"/>
      <c r="AL23" s="84"/>
      <c r="AM23" s="84"/>
      <c r="AN23" s="84"/>
      <c r="AO23" s="84"/>
      <c r="AP23" s="84"/>
      <c r="AQ23" s="84"/>
      <c r="AR23" s="83"/>
      <c r="AS23" s="83"/>
      <c r="AT23" s="83"/>
      <c r="AU23" s="84"/>
      <c r="AV23" s="84"/>
      <c r="AW23" s="84"/>
      <c r="AX23" s="83"/>
      <c r="AY23" s="84"/>
      <c r="AZ23" s="85"/>
      <c r="BA23" s="86"/>
      <c r="BB23" s="85"/>
      <c r="BC23" s="86"/>
      <c r="BD23" s="85"/>
      <c r="BE23" s="86"/>
      <c r="BF23" s="86"/>
      <c r="BG23" s="86"/>
      <c r="BH23" s="85"/>
      <c r="BI23" s="86"/>
      <c r="BJ23" s="86"/>
      <c r="BK23" s="86"/>
      <c r="BL23" s="85"/>
      <c r="BM23" s="86"/>
      <c r="BN23" s="87"/>
      <c r="BO23" s="87"/>
      <c r="BP23" s="87"/>
      <c r="BQ23" s="87"/>
      <c r="BR23" s="88"/>
      <c r="BS23" s="88"/>
    </row>
    <row r="24" spans="2:83">
      <c r="B24" s="30">
        <v>1996</v>
      </c>
      <c r="C24" s="79">
        <v>854763.607812398</v>
      </c>
      <c r="D24" s="79"/>
      <c r="E24" s="79"/>
      <c r="F24" s="80"/>
      <c r="G24" s="79">
        <v>2.2088640505145696</v>
      </c>
      <c r="H24" s="196">
        <v>159333.52483663801</v>
      </c>
      <c r="I24" s="79">
        <f t="shared" ref="I24:I52" si="1">H24/C24*100</f>
        <v>18.640653787825773</v>
      </c>
      <c r="J24" s="196">
        <v>556941.73631278705</v>
      </c>
      <c r="K24" s="79">
        <f t="shared" ref="K24:K52" si="2">J24/C24*100</f>
        <v>65.15739921803312</v>
      </c>
      <c r="L24" s="196">
        <v>76119.962709045605</v>
      </c>
      <c r="M24" s="79">
        <f t="shared" ref="M24:M52" si="3">L24/C24*100</f>
        <v>8.9053817936704061</v>
      </c>
      <c r="N24" s="196">
        <v>57527.3831143883</v>
      </c>
      <c r="O24" s="80">
        <f t="shared" ref="O24:O52" si="4">N24/C24*100</f>
        <v>6.7302096847125377</v>
      </c>
      <c r="P24" s="81">
        <v>9.5649518175899999</v>
      </c>
      <c r="Q24" s="81"/>
      <c r="R24" s="81"/>
      <c r="S24" s="81">
        <v>22.27</v>
      </c>
      <c r="T24" s="81">
        <v>1.0391600000000001</v>
      </c>
      <c r="U24" s="198">
        <v>851019</v>
      </c>
      <c r="V24" s="198">
        <v>-23843.027897503496</v>
      </c>
      <c r="W24" s="82">
        <f t="shared" ref="W24:W52" si="5">V24/U24*100</f>
        <v>-2.8017033576810269</v>
      </c>
      <c r="X24" s="197">
        <v>46.58735703</v>
      </c>
      <c r="Y24" s="199">
        <f t="shared" ref="Y24:Y52" si="6">X24/U24*100</f>
        <v>5.4743028099255124E-3</v>
      </c>
      <c r="Z24" s="197">
        <v>-25596.328913515001</v>
      </c>
      <c r="AA24" s="82">
        <f t="shared" ref="AA24:AA52" si="7">Z24/U24*100</f>
        <v>-3.007727079361918</v>
      </c>
      <c r="AB24" s="197">
        <v>-1799.8883730415</v>
      </c>
      <c r="AC24" s="82">
        <f t="shared" ref="AC24:AC52" si="8">AB24/U24*100</f>
        <v>-0.21149802449081631</v>
      </c>
      <c r="AD24" s="197">
        <v>60110</v>
      </c>
      <c r="AE24" s="82">
        <f t="shared" si="0"/>
        <v>7.0632970591725925</v>
      </c>
      <c r="AF24" s="82"/>
      <c r="AG24" s="82"/>
      <c r="AH24" s="197">
        <v>10791.687</v>
      </c>
      <c r="AI24" s="82">
        <f t="shared" ref="AI24:AI52" si="9">AH24/U24*100</f>
        <v>1.2680900191417583</v>
      </c>
      <c r="AJ24" s="83"/>
      <c r="AK24" s="84"/>
      <c r="AL24" s="84"/>
      <c r="AM24" s="84"/>
      <c r="AN24" s="84"/>
      <c r="AO24" s="84"/>
      <c r="AP24" s="84"/>
      <c r="AQ24" s="84"/>
      <c r="AR24" s="83"/>
      <c r="AS24" s="83"/>
      <c r="AT24" s="83"/>
      <c r="AU24" s="84"/>
      <c r="AV24" s="84"/>
      <c r="AW24" s="84"/>
      <c r="AX24" s="83"/>
      <c r="AY24" s="84"/>
      <c r="AZ24" s="85"/>
      <c r="BA24" s="86"/>
      <c r="BB24" s="85"/>
      <c r="BC24" s="86"/>
      <c r="BD24" s="85"/>
      <c r="BE24" s="86"/>
      <c r="BF24" s="86"/>
      <c r="BG24" s="86"/>
      <c r="BH24" s="85"/>
      <c r="BI24" s="86"/>
      <c r="BJ24" s="86"/>
      <c r="BK24" s="86"/>
      <c r="BL24" s="85"/>
      <c r="BM24" s="86"/>
      <c r="BN24" s="87"/>
      <c r="BO24" s="87"/>
      <c r="BP24" s="87"/>
      <c r="BQ24" s="87"/>
      <c r="BR24" s="88"/>
      <c r="BS24" s="88"/>
    </row>
    <row r="25" spans="2:83">
      <c r="B25" s="30">
        <v>1997</v>
      </c>
      <c r="C25" s="79">
        <v>952089.19608881092</v>
      </c>
      <c r="D25" s="79"/>
      <c r="E25" s="79"/>
      <c r="F25" s="80"/>
      <c r="G25" s="79">
        <v>3.3948459853159418</v>
      </c>
      <c r="H25" s="196">
        <v>182067.075576267</v>
      </c>
      <c r="I25" s="79">
        <f t="shared" si="1"/>
        <v>19.122901123571175</v>
      </c>
      <c r="J25" s="196">
        <v>621805.92830762896</v>
      </c>
      <c r="K25" s="79">
        <f t="shared" si="2"/>
        <v>65.309629692471262</v>
      </c>
      <c r="L25" s="196">
        <v>91329.724399258994</v>
      </c>
      <c r="M25" s="79">
        <f t="shared" si="3"/>
        <v>9.5925596860506506</v>
      </c>
      <c r="N25" s="196">
        <v>66490.573118046406</v>
      </c>
      <c r="O25" s="80">
        <f t="shared" si="4"/>
        <v>6.9836495772864717</v>
      </c>
      <c r="P25" s="81">
        <v>5.2243185352542412</v>
      </c>
      <c r="Q25" s="81"/>
      <c r="R25" s="81"/>
      <c r="S25" s="81">
        <v>34.619999999999997</v>
      </c>
      <c r="T25" s="81">
        <v>1.1152000000000002</v>
      </c>
      <c r="U25" s="198">
        <v>883282</v>
      </c>
      <c r="V25" s="198">
        <v>-32133.362814291904</v>
      </c>
      <c r="W25" s="82">
        <f t="shared" si="5"/>
        <v>-3.6379505995018468</v>
      </c>
      <c r="X25" s="197">
        <v>83.98301305999999</v>
      </c>
      <c r="Y25" s="199">
        <f t="shared" si="6"/>
        <v>9.5080634565178502E-3</v>
      </c>
      <c r="Z25" s="197">
        <v>-32502.922011319897</v>
      </c>
      <c r="AA25" s="82">
        <f t="shared" si="7"/>
        <v>-3.6797899211486138</v>
      </c>
      <c r="AB25" s="197">
        <v>-453.54221008799146</v>
      </c>
      <c r="AC25" s="82">
        <f t="shared" si="8"/>
        <v>-5.1347385103284279E-2</v>
      </c>
      <c r="AD25" s="197">
        <v>52173</v>
      </c>
      <c r="AE25" s="82">
        <f t="shared" si="0"/>
        <v>5.906720616971703</v>
      </c>
      <c r="AF25" s="82"/>
      <c r="AG25" s="82"/>
      <c r="AH25" s="197">
        <v>18992.9343106468</v>
      </c>
      <c r="AI25" s="82">
        <f t="shared" si="9"/>
        <v>2.1502684658633142</v>
      </c>
      <c r="AJ25" s="83">
        <f>HLOOKUP(B25,'RTN-2.2'!$A$5:$AC$164,2,0)</f>
        <v>159012.37514721998</v>
      </c>
      <c r="AK25" s="176">
        <f>HLOOKUP(B25,'RTN-2.2-A'!$A$5:$AC$164,2,0)*100</f>
        <v>16.701415702144292</v>
      </c>
      <c r="AL25" s="84"/>
      <c r="AM25" s="84"/>
      <c r="AN25" s="84">
        <f>HLOOKUP(B25,'RTN-2.2'!$A$5:$AC$164,3,0)</f>
        <v>101710.99134000001</v>
      </c>
      <c r="AO25" s="176">
        <f>HLOOKUP(B25,'RTN-2.2-A'!$A$5:$AC$164,3,0)*100</f>
        <v>10.68292669846481</v>
      </c>
      <c r="AP25" s="84"/>
      <c r="AQ25" s="84"/>
      <c r="AR25" s="83">
        <f>HLOOKUP(B25,'RTN-2.2'!$A$5:$AC$164,15,0)</f>
        <v>10105.37081</v>
      </c>
      <c r="AS25" s="176">
        <f>HLOOKUP(B25,'RTN-2.2-A'!$A$5:$AC$164,15,0)*100</f>
        <v>1.0613890809810678</v>
      </c>
      <c r="AT25" s="83">
        <f>HLOOKUP(B25,'RTN-2.2'!$A$5:$AC$164,16,0)</f>
        <v>5009.8452400000006</v>
      </c>
      <c r="AU25" s="176">
        <f>HLOOKUP(B25,'RTN-2.2-A'!$A$5:$AC$164,16,0)*100</f>
        <v>0.52619494475937767</v>
      </c>
      <c r="AV25" s="84">
        <f>HLOOKUP(B25,'RTN-2.2'!$A$5:$AC$164,13,0)</f>
        <v>12213.437728089999</v>
      </c>
      <c r="AW25" s="176">
        <f>HLOOKUP(B25,'RTN-2.2-A'!$A$5:$AC$164,13,0)*100</f>
        <v>1.2828039356070839</v>
      </c>
      <c r="AX25" s="83"/>
      <c r="AY25" s="84"/>
      <c r="AZ25" s="85">
        <f>HLOOKUP(B25,'RTN-2.2'!$A$5:$AC$164,59,0)</f>
        <v>132968.00152194535</v>
      </c>
      <c r="BA25" s="86">
        <f>HLOOKUP(B25,'RTN-2.2-A'!$A$5:$AC$164,59,0)*100</f>
        <v>13.965918479271203</v>
      </c>
      <c r="BB25" s="86"/>
      <c r="BC25" s="86"/>
      <c r="BD25" s="85"/>
      <c r="BE25" s="86"/>
      <c r="BF25" s="86"/>
      <c r="BG25" s="86"/>
      <c r="BH25" s="85"/>
      <c r="BI25" s="86"/>
      <c r="BJ25" s="86"/>
      <c r="BK25" s="86"/>
      <c r="BL25" s="85">
        <f>HLOOKUP(B25,'RTN-2.2'!$A$5:$AC$164,159,0)*(-1)</f>
        <v>18931.52</v>
      </c>
      <c r="BM25" s="86">
        <f>HLOOKUP(B25,'RTN-2.2-A'!$A$5:$AC$164,159,0)*100*(-1)</f>
        <v>1.9884187321944204</v>
      </c>
      <c r="BN25" s="87">
        <f>HLOOKUP(B25,'RTN-2.2'!$A$5:$AC$164,151,0)</f>
        <v>1800.7522638034116</v>
      </c>
      <c r="BO25" s="87">
        <f>HLOOKUP(B25,'RTN-2.2-A'!$A$5:$AC$164,151,0)*100</f>
        <v>0.1891369279058529</v>
      </c>
      <c r="BP25" s="87"/>
      <c r="BQ25" s="87"/>
      <c r="BR25" s="88"/>
      <c r="BS25" s="88"/>
    </row>
    <row r="26" spans="2:83">
      <c r="B26" s="30">
        <v>1998</v>
      </c>
      <c r="C26" s="79">
        <v>1002351.019213479</v>
      </c>
      <c r="D26" s="79"/>
      <c r="E26" s="79"/>
      <c r="F26" s="80"/>
      <c r="G26" s="79">
        <v>0.3380979019523167</v>
      </c>
      <c r="H26" s="196">
        <v>185859.41916958211</v>
      </c>
      <c r="I26" s="79">
        <f t="shared" si="1"/>
        <v>18.542348499373158</v>
      </c>
      <c r="J26" s="196">
        <v>642931.00539023301</v>
      </c>
      <c r="K26" s="79">
        <f t="shared" si="2"/>
        <v>64.14230075754557</v>
      </c>
      <c r="L26" s="196">
        <v>94302.031812068803</v>
      </c>
      <c r="M26" s="79">
        <f t="shared" si="3"/>
        <v>9.4080845935653716</v>
      </c>
      <c r="N26" s="196">
        <v>70470.29176008761</v>
      </c>
      <c r="O26" s="80">
        <f t="shared" si="4"/>
        <v>7.0305003346416486</v>
      </c>
      <c r="P26" s="81">
        <v>1.654978179942276</v>
      </c>
      <c r="Q26" s="81"/>
      <c r="R26" s="81"/>
      <c r="S26" s="81">
        <v>26.27</v>
      </c>
      <c r="T26" s="81">
        <v>1.2077099999999998</v>
      </c>
      <c r="U26" s="198">
        <v>863872</v>
      </c>
      <c r="V26" s="198">
        <v>-34992.880274942683</v>
      </c>
      <c r="W26" s="82">
        <f t="shared" si="5"/>
        <v>-4.0507019876720953</v>
      </c>
      <c r="X26" s="197">
        <v>50.426500279999992</v>
      </c>
      <c r="Y26" s="199">
        <f t="shared" si="6"/>
        <v>5.8372652754111708E-3</v>
      </c>
      <c r="Z26" s="197">
        <v>-36842.398709379901</v>
      </c>
      <c r="AA26" s="82">
        <f t="shared" si="7"/>
        <v>-4.2647983392655275</v>
      </c>
      <c r="AB26" s="197">
        <v>-1899.9449347172117</v>
      </c>
      <c r="AC26" s="82">
        <f t="shared" si="8"/>
        <v>-0.21993361686884305</v>
      </c>
      <c r="AD26" s="197">
        <v>44556</v>
      </c>
      <c r="AE26" s="82">
        <f t="shared" si="0"/>
        <v>5.1577085494147283</v>
      </c>
      <c r="AF26" s="82"/>
      <c r="AG26" s="82"/>
      <c r="AH26" s="197">
        <v>28855.609916419999</v>
      </c>
      <c r="AI26" s="82">
        <f t="shared" si="9"/>
        <v>3.3402645202553156</v>
      </c>
      <c r="AJ26" s="83">
        <f>HLOOKUP(B26,'RTN-2.2'!$A$5:$AC$164,2,0)</f>
        <v>183516.20421783399</v>
      </c>
      <c r="AK26" s="176">
        <f>HLOOKUP(B26,'RTN-2.2-A'!$A$5:$AC$164,2,0)*100</f>
        <v>18.308576957356653</v>
      </c>
      <c r="AL26" s="84"/>
      <c r="AM26" s="84"/>
      <c r="AN26" s="84">
        <f>HLOOKUP(B26,'RTN-2.2'!$A$5:$AC$164,3,0)</f>
        <v>111752.412363</v>
      </c>
      <c r="AO26" s="176">
        <f>HLOOKUP(B26,'RTN-2.2-A'!$A$5:$AC$164,3,0)*100</f>
        <v>11.149029867082488</v>
      </c>
      <c r="AP26" s="84"/>
      <c r="AQ26" s="84"/>
      <c r="AR26" s="83">
        <f>HLOOKUP(B26,'RTN-2.2'!$A$5:$AC$164,15,0)</f>
        <v>11879.117515999998</v>
      </c>
      <c r="AS26" s="176">
        <f>HLOOKUP(B26,'RTN-2.2-A'!$A$5:$AC$164,15,0)*100</f>
        <v>1.1851255214989558</v>
      </c>
      <c r="AT26" s="83">
        <f>HLOOKUP(B26,'RTN-2.2'!$A$5:$AC$164,16,0)</f>
        <v>11927.482996000001</v>
      </c>
      <c r="AU26" s="176">
        <f>HLOOKUP(B26,'RTN-2.2-A'!$A$5:$AC$164,16,0)*100</f>
        <v>1.1899507254444801</v>
      </c>
      <c r="AV26" s="84">
        <f>HLOOKUP(B26,'RTN-2.2'!$A$5:$AC$164,13,0)</f>
        <v>11838.116792069999</v>
      </c>
      <c r="AW26" s="176">
        <f>HLOOKUP(B26,'RTN-2.2-A'!$A$5:$AC$164,13,0)*100</f>
        <v>1.1810350657673809</v>
      </c>
      <c r="AX26" s="83"/>
      <c r="AY26" s="84"/>
      <c r="AZ26" s="85">
        <f>HLOOKUP(B26,'RTN-2.2'!$A$5:$AC$164,59,0)</f>
        <v>148782.87854138151</v>
      </c>
      <c r="BA26" s="86">
        <f>HLOOKUP(B26,'RTN-2.2-A'!$A$5:$AC$164,59,0)*100</f>
        <v>14.843391041798881</v>
      </c>
      <c r="BB26" s="86"/>
      <c r="BC26" s="86"/>
      <c r="BD26" s="85"/>
      <c r="BE26" s="86"/>
      <c r="BF26" s="86"/>
      <c r="BG26" s="86"/>
      <c r="BH26" s="85"/>
      <c r="BI26" s="86"/>
      <c r="BJ26" s="86"/>
      <c r="BK26" s="86"/>
      <c r="BL26" s="85">
        <f>HLOOKUP(B26,'RTN-2.2'!$A$5:$AC$164,159,0)*(-1)</f>
        <v>50141.500000000007</v>
      </c>
      <c r="BM26" s="86">
        <f>HLOOKUP(B26,'RTN-2.2-A'!$A$5:$AC$164,159,0)*100*(-1)</f>
        <v>5.0023893825615984</v>
      </c>
      <c r="BN26" s="87">
        <f>HLOOKUP(B26,'RTN-2.2'!$A$5:$AC$164,151,0)</f>
        <v>7577.0176559108349</v>
      </c>
      <c r="BO26" s="87">
        <f>HLOOKUP(B26,'RTN-2.2-A'!$A$5:$AC$164,151,0)*100</f>
        <v>0.75592458688731146</v>
      </c>
      <c r="BP26" s="87"/>
      <c r="BQ26" s="87"/>
      <c r="BR26" s="88"/>
      <c r="BS26" s="88"/>
    </row>
    <row r="27" spans="2:83">
      <c r="B27" s="30">
        <v>1999</v>
      </c>
      <c r="C27" s="79">
        <v>1087710.456053993</v>
      </c>
      <c r="D27" s="79"/>
      <c r="E27" s="79"/>
      <c r="F27" s="80"/>
      <c r="G27" s="79">
        <v>0.46793756667951047</v>
      </c>
      <c r="H27" s="196">
        <v>185088.01145095611</v>
      </c>
      <c r="I27" s="79">
        <f t="shared" si="1"/>
        <v>17.016294218814469</v>
      </c>
      <c r="J27" s="196">
        <v>703532.42216893693</v>
      </c>
      <c r="K27" s="79">
        <f t="shared" si="2"/>
        <v>64.680119442927761</v>
      </c>
      <c r="L27" s="196">
        <v>124186.820162843</v>
      </c>
      <c r="M27" s="79">
        <f t="shared" si="3"/>
        <v>11.417268214315895</v>
      </c>
      <c r="N27" s="196">
        <v>104038.3984802151</v>
      </c>
      <c r="O27" s="80">
        <f t="shared" si="4"/>
        <v>9.5648982595650178</v>
      </c>
      <c r="P27" s="81">
        <v>8.9397887806885166</v>
      </c>
      <c r="Q27" s="81">
        <v>19</v>
      </c>
      <c r="R27" s="81"/>
      <c r="S27" s="81">
        <v>18.55</v>
      </c>
      <c r="T27" s="81">
        <v>1.8156800000000004</v>
      </c>
      <c r="U27" s="198">
        <v>599290</v>
      </c>
      <c r="V27" s="198">
        <v>-26783.642462795357</v>
      </c>
      <c r="W27" s="82">
        <f t="shared" si="5"/>
        <v>-4.4692289981136604</v>
      </c>
      <c r="X27" s="197">
        <v>60.67692670000001</v>
      </c>
      <c r="Y27" s="199">
        <f t="shared" si="6"/>
        <v>1.0124802132523487E-2</v>
      </c>
      <c r="Z27" s="197">
        <v>-24558.07504691093</v>
      </c>
      <c r="AA27" s="82">
        <f t="shared" si="7"/>
        <v>-4.0978616440973372</v>
      </c>
      <c r="AB27" s="197">
        <v>2164.8904891844259</v>
      </c>
      <c r="AC27" s="82">
        <f t="shared" si="8"/>
        <v>0.36124255188380017</v>
      </c>
      <c r="AD27" s="197">
        <v>36342</v>
      </c>
      <c r="AE27" s="82">
        <f t="shared" si="0"/>
        <v>6.0641759415308121</v>
      </c>
      <c r="AF27" s="82"/>
      <c r="AG27" s="82"/>
      <c r="AH27" s="197">
        <v>28385.675614990236</v>
      </c>
      <c r="AI27" s="82">
        <f t="shared" si="9"/>
        <v>4.7365508543426786</v>
      </c>
      <c r="AJ27" s="83">
        <f>HLOOKUP(B27,'RTN-2.2'!$A$5:$AC$164,2,0)</f>
        <v>209383.53077113011</v>
      </c>
      <c r="AK27" s="176">
        <f>HLOOKUP(B27,'RTN-2.2-A'!$A$5:$AC$164,2,0)*100</f>
        <v>19.249931923166148</v>
      </c>
      <c r="AL27" s="84"/>
      <c r="AM27" s="84"/>
      <c r="AN27" s="84">
        <f>HLOOKUP(B27,'RTN-2.2'!$A$5:$AC$164,3,0)</f>
        <v>134315.24228339997</v>
      </c>
      <c r="AO27" s="176">
        <f>HLOOKUP(B27,'RTN-2.2-A'!$A$5:$AC$164,3,0)*100</f>
        <v>12.348436673489864</v>
      </c>
      <c r="AP27" s="84"/>
      <c r="AQ27" s="84"/>
      <c r="AR27" s="83">
        <f>HLOOKUP(B27,'RTN-2.2'!$A$5:$AC$164,15,0)</f>
        <v>11451.938072779998</v>
      </c>
      <c r="AS27" s="176">
        <f>HLOOKUP(B27,'RTN-2.2-A'!$A$5:$AC$164,15,0)*100</f>
        <v>1.0528479841630654</v>
      </c>
      <c r="AT27" s="83">
        <f>HLOOKUP(B27,'RTN-2.2'!$A$5:$AC$164,16,0)</f>
        <v>13623.401328419997</v>
      </c>
      <c r="AU27" s="176">
        <f>HLOOKUP(B27,'RTN-2.2-A'!$A$5:$AC$164,16,0)*100</f>
        <v>1.2524841240771325</v>
      </c>
      <c r="AV27" s="84">
        <f>HLOOKUP(B27,'RTN-2.2'!$A$5:$AC$164,13,0)</f>
        <v>12760.410630530001</v>
      </c>
      <c r="AW27" s="176">
        <f>HLOOKUP(B27,'RTN-2.2-A'!$A$5:$AC$164,13,0)*100</f>
        <v>1.1731440149313628</v>
      </c>
      <c r="AX27" s="83"/>
      <c r="AY27" s="84"/>
      <c r="AZ27" s="85">
        <f>HLOOKUP(B27,'RTN-2.2'!$A$5:$AC$164,59,0)</f>
        <v>158679.80940034002</v>
      </c>
      <c r="BA27" s="86">
        <f>HLOOKUP(B27,'RTN-2.2-A'!$A$5:$AC$164,59,0)*100</f>
        <v>14.588423059291975</v>
      </c>
      <c r="BB27" s="85"/>
      <c r="BC27" s="86"/>
      <c r="BD27" s="85"/>
      <c r="BE27" s="86"/>
      <c r="BF27" s="86"/>
      <c r="BG27" s="86"/>
      <c r="BH27" s="85"/>
      <c r="BI27" s="86"/>
      <c r="BJ27" s="86"/>
      <c r="BK27" s="86"/>
      <c r="BL27" s="85">
        <f>HLOOKUP(B27,'RTN-2.2'!$A$5:$AC$164,159,0)*(-1)</f>
        <v>49008.09</v>
      </c>
      <c r="BM27" s="86">
        <f>HLOOKUP(B27,'RTN-2.2-A'!$A$5:$AC$164,159,0)*100*(-1)</f>
        <v>4.505618912385235</v>
      </c>
      <c r="BN27" s="87">
        <f>HLOOKUP(B27,'RTN-2.2'!$A$5:$AC$164,151,0)</f>
        <v>20164.293039367229</v>
      </c>
      <c r="BO27" s="87">
        <f>HLOOKUP(B27,'RTN-2.2-A'!$A$5:$AC$164,151,0)*100</f>
        <v>1.8538290325750491</v>
      </c>
      <c r="BP27" s="87"/>
      <c r="BQ27" s="87"/>
      <c r="BR27" s="88"/>
      <c r="BS27" s="88"/>
    </row>
    <row r="28" spans="2:83">
      <c r="B28" s="30">
        <v>2000</v>
      </c>
      <c r="C28" s="79">
        <v>1199092.07094021</v>
      </c>
      <c r="D28" s="79"/>
      <c r="E28" s="79"/>
      <c r="F28" s="80"/>
      <c r="G28" s="79">
        <v>4.3879494436487976</v>
      </c>
      <c r="H28" s="196">
        <v>219487.6645917641</v>
      </c>
      <c r="I28" s="79">
        <f t="shared" si="1"/>
        <v>18.304488029819385</v>
      </c>
      <c r="J28" s="196">
        <v>774525.94812310697</v>
      </c>
      <c r="K28" s="79">
        <f t="shared" si="2"/>
        <v>64.592700334995953</v>
      </c>
      <c r="L28" s="196">
        <v>149307.50751354202</v>
      </c>
      <c r="M28" s="79">
        <f t="shared" si="3"/>
        <v>12.451713353126401</v>
      </c>
      <c r="N28" s="196">
        <v>122164.07582171899</v>
      </c>
      <c r="O28" s="80">
        <f t="shared" si="4"/>
        <v>10.188048005849121</v>
      </c>
      <c r="P28" s="81">
        <v>5.9745933423981512</v>
      </c>
      <c r="Q28" s="81">
        <v>15.75</v>
      </c>
      <c r="R28" s="81"/>
      <c r="S28" s="81">
        <v>15.74</v>
      </c>
      <c r="T28" s="81">
        <v>1.9572800000000004</v>
      </c>
      <c r="U28" s="198">
        <v>655707</v>
      </c>
      <c r="V28" s="198">
        <v>-26530.848798824252</v>
      </c>
      <c r="W28" s="82">
        <f t="shared" si="5"/>
        <v>-4.0461439025089332</v>
      </c>
      <c r="X28" s="197">
        <v>126.81891644000002</v>
      </c>
      <c r="Y28" s="199">
        <f t="shared" si="6"/>
        <v>1.9340790389609997E-2</v>
      </c>
      <c r="Z28" s="197">
        <v>-20424.422773695478</v>
      </c>
      <c r="AA28" s="82">
        <f t="shared" si="7"/>
        <v>-3.1148703267916122</v>
      </c>
      <c r="AB28" s="197">
        <v>5979.6071086887678</v>
      </c>
      <c r="AC28" s="82">
        <f t="shared" si="8"/>
        <v>0.91193278532771005</v>
      </c>
      <c r="AD28" s="197">
        <v>33011</v>
      </c>
      <c r="AE28" s="82">
        <f t="shared" si="0"/>
        <v>5.0344132363997947</v>
      </c>
      <c r="AF28" s="82"/>
      <c r="AG28" s="82"/>
      <c r="AH28" s="197">
        <v>32994.718699750003</v>
      </c>
      <c r="AI28" s="82">
        <f t="shared" si="9"/>
        <v>5.0319302218445134</v>
      </c>
      <c r="AJ28" s="83">
        <f>HLOOKUP(B28,'RTN-2.2'!$A$5:$AC$164,2,0)</f>
        <v>235051.9264603559</v>
      </c>
      <c r="AK28" s="176">
        <f>HLOOKUP(B28,'RTN-2.2-A'!$A$5:$AC$164,2,0)*100</f>
        <v>19.602491931753935</v>
      </c>
      <c r="AL28" s="84"/>
      <c r="AM28" s="84"/>
      <c r="AN28" s="84">
        <f>HLOOKUP(B28,'RTN-2.2'!$A$5:$AC$164,3,0)</f>
        <v>156187.72334500001</v>
      </c>
      <c r="AO28" s="176">
        <f>HLOOKUP(B28,'RTN-2.2-A'!$A$5:$AC$164,3,0)*100</f>
        <v>13.025498802817777</v>
      </c>
      <c r="AP28" s="84"/>
      <c r="AQ28" s="84"/>
      <c r="AR28" s="83">
        <f>HLOOKUP(B28,'RTN-2.2'!$A$5:$AC$164,15,0)</f>
        <v>13817.4174</v>
      </c>
      <c r="AS28" s="176">
        <f>HLOOKUP(B28,'RTN-2.2-A'!$A$5:$AC$164,15,0)*100</f>
        <v>1.1523233065135472</v>
      </c>
      <c r="AT28" s="83">
        <f>HLOOKUP(B28,'RTN-2.2'!$A$5:$AC$164,16,0)</f>
        <v>10676.971657000002</v>
      </c>
      <c r="AU28" s="176">
        <f>HLOOKUP(B28,'RTN-2.2-A'!$A$5:$AC$164,16,0)*100</f>
        <v>0.89042133758987907</v>
      </c>
      <c r="AV28" s="84">
        <f>HLOOKUP(B28,'RTN-2.2'!$A$5:$AC$164,13,0)</f>
        <v>17511.298885000004</v>
      </c>
      <c r="AW28" s="176">
        <f>HLOOKUP(B28,'RTN-2.2-A'!$A$5:$AC$164,13,0)*100</f>
        <v>1.4603798414970222</v>
      </c>
      <c r="AX28" s="83"/>
      <c r="AY28" s="84"/>
      <c r="AZ28" s="85">
        <f>HLOOKUP(B28,'RTN-2.2'!$A$5:$AC$164,59,0)</f>
        <v>177372.06250843001</v>
      </c>
      <c r="BA28" s="86">
        <f>HLOOKUP(B28,'RTN-2.2-A'!$A$5:$AC$164,59,0)*100</f>
        <v>14.792197097037949</v>
      </c>
      <c r="BB28" s="85"/>
      <c r="BC28" s="86"/>
      <c r="BD28" s="85"/>
      <c r="BE28" s="86"/>
      <c r="BF28" s="86"/>
      <c r="BG28" s="86"/>
      <c r="BH28" s="85"/>
      <c r="BI28" s="86"/>
      <c r="BJ28" s="86"/>
      <c r="BK28" s="86"/>
      <c r="BL28" s="85">
        <f>HLOOKUP(B28,'RTN-2.2'!$A$5:$AC$164,159,0)*(-1)</f>
        <v>45447.03</v>
      </c>
      <c r="BM28" s="86">
        <f>HLOOKUP(B28,'RTN-2.2-A'!$A$5:$AC$164,159,0)*100*(-1)</f>
        <v>3.790120133507755</v>
      </c>
      <c r="BN28" s="87">
        <f>HLOOKUP(B28,'RTN-2.2'!$A$5:$AC$164,151,0)</f>
        <v>20982.204108619229</v>
      </c>
      <c r="BO28" s="87">
        <f>HLOOKUP(B28,'RTN-2.2-A'!$A$5:$AC$164,151,0)*100</f>
        <v>1.7498409519268228</v>
      </c>
      <c r="BP28" s="87"/>
      <c r="BQ28" s="87"/>
      <c r="BR28" s="88"/>
      <c r="BS28" s="88"/>
    </row>
    <row r="29" spans="2:83">
      <c r="B29" s="30">
        <v>2001</v>
      </c>
      <c r="C29" s="79">
        <v>1315755.4678309299</v>
      </c>
      <c r="D29" s="79"/>
      <c r="E29" s="79"/>
      <c r="F29" s="80"/>
      <c r="G29" s="79">
        <v>1.3898964044581685</v>
      </c>
      <c r="H29" s="196">
        <v>242336.9802015879</v>
      </c>
      <c r="I29" s="79">
        <f t="shared" si="1"/>
        <v>18.418086500608592</v>
      </c>
      <c r="J29" s="196">
        <v>843500.67820294097</v>
      </c>
      <c r="K29" s="79">
        <f t="shared" si="2"/>
        <v>64.107708371790551</v>
      </c>
      <c r="L29" s="196">
        <v>191634.18341005599</v>
      </c>
      <c r="M29" s="79">
        <f t="shared" si="3"/>
        <v>14.564574352555937</v>
      </c>
      <c r="N29" s="196">
        <v>162781.45963615601</v>
      </c>
      <c r="O29" s="80">
        <f t="shared" si="4"/>
        <v>12.371710672387103</v>
      </c>
      <c r="P29" s="81">
        <v>7.6734364140733078</v>
      </c>
      <c r="Q29" s="81">
        <v>19</v>
      </c>
      <c r="R29" s="81"/>
      <c r="S29" s="81">
        <v>18.54</v>
      </c>
      <c r="T29" s="81">
        <v>2.32599</v>
      </c>
      <c r="U29" s="198">
        <v>559563</v>
      </c>
      <c r="V29" s="198">
        <v>-24890.077179819076</v>
      </c>
      <c r="W29" s="82">
        <f t="shared" si="5"/>
        <v>-4.4481277675291393</v>
      </c>
      <c r="X29" s="197">
        <v>105.68460512</v>
      </c>
      <c r="Y29" s="199">
        <f t="shared" si="6"/>
        <v>1.8886989511458049E-2</v>
      </c>
      <c r="Z29" s="197">
        <v>-23010.139280375959</v>
      </c>
      <c r="AA29" s="82">
        <f t="shared" si="7"/>
        <v>-4.1121623982243216</v>
      </c>
      <c r="AB29" s="197">
        <v>1774.253294323122</v>
      </c>
      <c r="AC29" s="82">
        <f t="shared" si="8"/>
        <v>0.31707837979336057</v>
      </c>
      <c r="AD29" s="197">
        <v>35866</v>
      </c>
      <c r="AE29" s="82">
        <f t="shared" si="0"/>
        <v>6.4096446691435993</v>
      </c>
      <c r="AF29" s="82"/>
      <c r="AG29" s="82"/>
      <c r="AH29" s="197">
        <v>23225.846372250995</v>
      </c>
      <c r="AI29" s="82">
        <f t="shared" si="9"/>
        <v>4.1507116039214527</v>
      </c>
      <c r="AJ29" s="83">
        <f>HLOOKUP(B29,'RTN-2.2'!$A$5:$AC$164,2,0)</f>
        <v>270441.18113834597</v>
      </c>
      <c r="AK29" s="176">
        <f>HLOOKUP(B29,'RTN-2.2-A'!$A$5:$AC$164,2,0)*100</f>
        <v>20.554060974884482</v>
      </c>
      <c r="AL29" s="84"/>
      <c r="AM29" s="84"/>
      <c r="AN29" s="84">
        <f>HLOOKUP(B29,'RTN-2.2'!$A$5:$AC$164,3,0)</f>
        <v>179218.17344314948</v>
      </c>
      <c r="AO29" s="176">
        <f>HLOOKUP(B29,'RTN-2.2-A'!$A$5:$AC$164,3,0)*100</f>
        <v>13.620933207186061</v>
      </c>
      <c r="AP29" s="84"/>
      <c r="AQ29" s="84"/>
      <c r="AR29" s="83">
        <f>HLOOKUP(B29,'RTN-2.2'!$A$5:$AC$164,15,0)</f>
        <v>16924.356038999998</v>
      </c>
      <c r="AS29" s="176">
        <f>HLOOKUP(B29,'RTN-2.2-A'!$A$5:$AC$164,15,0)*100</f>
        <v>1.2862843022723975</v>
      </c>
      <c r="AT29" s="83">
        <f>HLOOKUP(B29,'RTN-2.2'!$A$5:$AC$164,16,0)</f>
        <v>15193.088205999999</v>
      </c>
      <c r="AU29" s="176">
        <f>HLOOKUP(B29,'RTN-2.2-A'!$A$5:$AC$164,16,0)*100</f>
        <v>1.1547045463581729</v>
      </c>
      <c r="AV29" s="84">
        <f>HLOOKUP(B29,'RTN-2.2'!$A$5:$AC$164,13,0)</f>
        <v>16842.886236999999</v>
      </c>
      <c r="AW29" s="176">
        <f>HLOOKUP(B29,'RTN-2.2-A'!$A$5:$AC$164,13,0)*100</f>
        <v>1.2800924372950619</v>
      </c>
      <c r="AX29" s="83"/>
      <c r="AY29" s="84"/>
      <c r="AZ29" s="85">
        <f>HLOOKUP(B29,'RTN-2.2'!$A$5:$AC$164,59,0)</f>
        <v>205643.17946561784</v>
      </c>
      <c r="BA29" s="86">
        <f>HLOOKUP(B29,'RTN-2.2-A'!$A$5:$AC$164,59,0)*100</f>
        <v>15.629285569652845</v>
      </c>
      <c r="BB29" s="85"/>
      <c r="BC29" s="86"/>
      <c r="BD29" s="85"/>
      <c r="BE29" s="86"/>
      <c r="BF29" s="86"/>
      <c r="BG29" s="86"/>
      <c r="BH29" s="85"/>
      <c r="BI29" s="86"/>
      <c r="BJ29" s="86"/>
      <c r="BK29" s="86"/>
      <c r="BL29" s="85">
        <f>HLOOKUP(B29,'RTN-2.2'!$A$5:$AC$164,159,0)*(-1)</f>
        <v>47253.044310794998</v>
      </c>
      <c r="BM29" s="86">
        <f>HLOOKUP(B29,'RTN-2.2-A'!$A$5:$AC$164,159,0)*100*(-1)</f>
        <v>3.5913241834132998</v>
      </c>
      <c r="BN29" s="87">
        <f>HLOOKUP(B29,'RTN-2.2'!$A$5:$AC$164,151,0)</f>
        <v>21737.100309591246</v>
      </c>
      <c r="BO29" s="87">
        <f>HLOOKUP(B29,'RTN-2.2-A'!$A$5:$AC$164,151,0)*100</f>
        <v>1.6520623201684757</v>
      </c>
      <c r="BP29" s="87"/>
      <c r="BQ29" s="87"/>
      <c r="BR29" s="88"/>
      <c r="BS29" s="88"/>
    </row>
    <row r="30" spans="2:83">
      <c r="B30" s="30">
        <v>2002</v>
      </c>
      <c r="C30" s="79">
        <v>1488787.255158368</v>
      </c>
      <c r="D30" s="79"/>
      <c r="E30" s="79"/>
      <c r="F30" s="80"/>
      <c r="G30" s="79">
        <v>3.0534618568362815</v>
      </c>
      <c r="H30" s="196">
        <v>266883.737572624</v>
      </c>
      <c r="I30" s="79">
        <f t="shared" si="1"/>
        <v>17.926250822467885</v>
      </c>
      <c r="J30" s="196">
        <v>921536.011894066</v>
      </c>
      <c r="K30" s="79">
        <f t="shared" si="2"/>
        <v>61.898435031675405</v>
      </c>
      <c r="L30" s="196">
        <v>199315.37083534192</v>
      </c>
      <c r="M30" s="79">
        <f t="shared" si="3"/>
        <v>13.387767133601635</v>
      </c>
      <c r="N30" s="196">
        <v>211863.214334841</v>
      </c>
      <c r="O30" s="80">
        <f t="shared" si="4"/>
        <v>14.230590274115713</v>
      </c>
      <c r="P30" s="81">
        <v>12.530273356687715</v>
      </c>
      <c r="Q30" s="81">
        <v>25</v>
      </c>
      <c r="R30" s="81"/>
      <c r="S30" s="81">
        <v>22.66</v>
      </c>
      <c r="T30" s="81">
        <v>3.51755</v>
      </c>
      <c r="U30" s="198">
        <v>508101</v>
      </c>
      <c r="V30" s="198">
        <v>-9407.0432570519515</v>
      </c>
      <c r="W30" s="82">
        <f t="shared" si="5"/>
        <v>-1.8514120730035863</v>
      </c>
      <c r="X30" s="197">
        <v>79.278742120000004</v>
      </c>
      <c r="Y30" s="199">
        <f t="shared" si="6"/>
        <v>1.5602949437218192E-2</v>
      </c>
      <c r="Z30" s="197">
        <v>-6893.3475562075964</v>
      </c>
      <c r="AA30" s="82">
        <f t="shared" si="7"/>
        <v>-1.3566884450547423</v>
      </c>
      <c r="AB30" s="197">
        <v>2434.416958724355</v>
      </c>
      <c r="AC30" s="82">
        <f t="shared" si="8"/>
        <v>0.47912067851162571</v>
      </c>
      <c r="AD30" s="197">
        <v>37823</v>
      </c>
      <c r="AE30" s="82">
        <f t="shared" si="0"/>
        <v>7.4439924345750157</v>
      </c>
      <c r="AF30" s="82"/>
      <c r="AG30" s="82"/>
      <c r="AH30" s="197">
        <v>16586.600193114038</v>
      </c>
      <c r="AI30" s="82">
        <f t="shared" si="9"/>
        <v>3.2644297478481716</v>
      </c>
      <c r="AJ30" s="83">
        <f>HLOOKUP(B30,'RTN-2.2'!$A$5:$AC$164,2,0)</f>
        <v>320056.45485952095</v>
      </c>
      <c r="AK30" s="176">
        <f>HLOOKUP(B30,'RTN-2.2-A'!$A$5:$AC$164,2,0)*100</f>
        <v>21.497796528723999</v>
      </c>
      <c r="AL30" s="84"/>
      <c r="AM30" s="84"/>
      <c r="AN30" s="84">
        <f>HLOOKUP(B30,'RTN-2.2'!$A$5:$AC$164,3,0)</f>
        <v>219900.79490799998</v>
      </c>
      <c r="AO30" s="176">
        <f>HLOOKUP(B30,'RTN-2.2-A'!$A$5:$AC$164,3,0)*100</f>
        <v>14.770464627910068</v>
      </c>
      <c r="AP30" s="84"/>
      <c r="AQ30" s="84"/>
      <c r="AR30" s="83">
        <f>HLOOKUP(B30,'RTN-2.2'!$A$5:$AC$164,15,0)</f>
        <v>16413.730359000001</v>
      </c>
      <c r="AS30" s="176">
        <f>HLOOKUP(B30,'RTN-2.2-A'!$A$5:$AC$164,15,0)*100</f>
        <v>1.1024899831812442</v>
      </c>
      <c r="AT30" s="83">
        <f>HLOOKUP(B30,'RTN-2.2'!$A$5:$AC$164,16,0)</f>
        <v>16223.95637</v>
      </c>
      <c r="AU30" s="176">
        <f>HLOOKUP(B30,'RTN-2.2-A'!$A$5:$AC$164,16,0)*100</f>
        <v>1.0897430988737336</v>
      </c>
      <c r="AV30" s="84">
        <f>HLOOKUP(B30,'RTN-2.2'!$A$5:$AC$164,13,0)</f>
        <v>33341.04688899999</v>
      </c>
      <c r="AW30" s="176">
        <f>HLOOKUP(B30,'RTN-2.2-A'!$A$5:$AC$164,13,0)*100</f>
        <v>2.2394769147492046</v>
      </c>
      <c r="AX30" s="83"/>
      <c r="AY30" s="84"/>
      <c r="AZ30" s="85">
        <f>HLOOKUP(B30,'RTN-2.2'!$A$5:$AC$164,59,0)</f>
        <v>236461.06742889402</v>
      </c>
      <c r="BA30" s="86">
        <f>HLOOKUP(B30,'RTN-2.2-A'!$A$5:$AC$164,59,0)*100</f>
        <v>15.882797667000498</v>
      </c>
      <c r="BB30" s="85"/>
      <c r="BC30" s="86"/>
      <c r="BD30" s="85"/>
      <c r="BE30" s="86"/>
      <c r="BF30" s="86"/>
      <c r="BG30" s="86"/>
      <c r="BH30" s="85"/>
      <c r="BI30" s="86"/>
      <c r="BJ30" s="86"/>
      <c r="BK30" s="86"/>
      <c r="BL30" s="85">
        <f>HLOOKUP(B30,'RTN-2.2'!$A$5:$AC$164,159,0)*(-1)</f>
        <v>41948.247818379998</v>
      </c>
      <c r="BM30" s="86">
        <f>HLOOKUP(B30,'RTN-2.2-A'!$A$5:$AC$164,159,0)*100*(-1)</f>
        <v>2.8176119639013031</v>
      </c>
      <c r="BN30" s="87">
        <f>HLOOKUP(B30,'RTN-2.2'!$A$5:$AC$164,151,0)</f>
        <v>31577.204619118551</v>
      </c>
      <c r="BO30" s="87">
        <f>HLOOKUP(B30,'RTN-2.2-A'!$A$5:$AC$164,151,0)*100</f>
        <v>2.1210018093390759</v>
      </c>
      <c r="BP30" s="87"/>
      <c r="BQ30" s="87"/>
      <c r="BR30" s="88"/>
      <c r="BS30" s="88"/>
    </row>
    <row r="31" spans="2:83">
      <c r="B31" s="30">
        <v>2003</v>
      </c>
      <c r="C31" s="79">
        <v>1717950.39642449</v>
      </c>
      <c r="D31" s="79"/>
      <c r="E31" s="79"/>
      <c r="F31" s="80"/>
      <c r="G31" s="79">
        <v>1.140828998770882</v>
      </c>
      <c r="H31" s="196">
        <v>285261.52566096897</v>
      </c>
      <c r="I31" s="79">
        <f t="shared" si="1"/>
        <v>16.604759151060112</v>
      </c>
      <c r="J31" s="196">
        <v>1062460.4170274199</v>
      </c>
      <c r="K31" s="79">
        <f t="shared" si="2"/>
        <v>61.84465041823568</v>
      </c>
      <c r="L31" s="196">
        <v>222639.51702602001</v>
      </c>
      <c r="M31" s="79">
        <f t="shared" si="3"/>
        <v>12.959601015803008</v>
      </c>
      <c r="N31" s="196">
        <v>260798.33385320602</v>
      </c>
      <c r="O31" s="80">
        <f t="shared" si="4"/>
        <v>15.180783705745895</v>
      </c>
      <c r="P31" s="81">
        <v>9.3005128004000284</v>
      </c>
      <c r="Q31" s="81">
        <v>16.5</v>
      </c>
      <c r="R31" s="81"/>
      <c r="S31" s="81">
        <v>15.56</v>
      </c>
      <c r="T31" s="81">
        <v>2.9115699999999998</v>
      </c>
      <c r="U31" s="198">
        <v>559465</v>
      </c>
      <c r="V31" s="198">
        <v>2193.1730184213029</v>
      </c>
      <c r="W31" s="82">
        <f t="shared" si="5"/>
        <v>0.39201255099448634</v>
      </c>
      <c r="X31" s="197">
        <v>82.844954850000008</v>
      </c>
      <c r="Y31" s="199">
        <f t="shared" si="6"/>
        <v>1.4807888759797307E-2</v>
      </c>
      <c r="Z31" s="197">
        <v>4360.9965636084235</v>
      </c>
      <c r="AA31" s="82">
        <f t="shared" si="7"/>
        <v>0.77949408159731592</v>
      </c>
      <c r="AB31" s="197">
        <v>2084.9785903371221</v>
      </c>
      <c r="AC31" s="82">
        <f t="shared" si="8"/>
        <v>0.37267364184303253</v>
      </c>
      <c r="AD31" s="197">
        <v>49296</v>
      </c>
      <c r="AE31" s="82">
        <f t="shared" si="0"/>
        <v>8.8112750574209286</v>
      </c>
      <c r="AF31" s="82"/>
      <c r="AG31" s="82"/>
      <c r="AH31" s="197">
        <v>10123.013670990096</v>
      </c>
      <c r="AI31" s="82">
        <f t="shared" si="9"/>
        <v>1.8094096451056092</v>
      </c>
      <c r="AJ31" s="83">
        <f>HLOOKUP(B31,'RTN-2.2'!$A$5:$AC$164,2,0)</f>
        <v>356131.53487670014</v>
      </c>
      <c r="AK31" s="176">
        <f>HLOOKUP(B31,'RTN-2.2-A'!$A$5:$AC$164,2,0)*100</f>
        <v>20.730024313734809</v>
      </c>
      <c r="AL31" s="84"/>
      <c r="AM31" s="84"/>
      <c r="AN31" s="84">
        <f>HLOOKUP(B31,'RTN-2.2'!$A$5:$AC$164,3,0)</f>
        <v>242869.35892299996</v>
      </c>
      <c r="AO31" s="176">
        <f>HLOOKUP(B31,'RTN-2.2-A'!$A$5:$AC$164,3,0)*100</f>
        <v>14.137157826470171</v>
      </c>
      <c r="AP31" s="84"/>
      <c r="AQ31" s="84"/>
      <c r="AR31" s="83">
        <f>HLOOKUP(B31,'RTN-2.2'!$A$5:$AC$164,15,0)</f>
        <v>19622.902276999997</v>
      </c>
      <c r="AS31" s="176">
        <f>HLOOKUP(B31,'RTN-2.2-A'!$A$5:$AC$164,15,0)*100</f>
        <v>1.1422275240216753</v>
      </c>
      <c r="AT31" s="83">
        <f>HLOOKUP(B31,'RTN-2.2'!$A$5:$AC$164,16,0)</f>
        <v>18859.927971000001</v>
      </c>
      <c r="AU31" s="176">
        <f>HLOOKUP(B31,'RTN-2.2-A'!$A$5:$AC$164,16,0)*100</f>
        <v>1.0978156301982012</v>
      </c>
      <c r="AV31" s="84">
        <f>HLOOKUP(B31,'RTN-2.2'!$A$5:$AC$164,13,0)</f>
        <v>31584.584742999999</v>
      </c>
      <c r="AW31" s="176">
        <f>HLOOKUP(B31,'RTN-2.2-A'!$A$5:$AC$164,13,0)*100</f>
        <v>1.8385038828091838</v>
      </c>
      <c r="AX31" s="83"/>
      <c r="AY31" s="84"/>
      <c r="AZ31" s="85">
        <f>HLOOKUP(B31,'RTN-2.2'!$A$5:$AC$164,59,0)</f>
        <v>260122.39577347832</v>
      </c>
      <c r="BA31" s="86">
        <f>HLOOKUP(B31,'RTN-2.2-A'!$A$5:$AC$164,59,0)*100</f>
        <v>15.141438094770496</v>
      </c>
      <c r="BB31" s="85"/>
      <c r="BC31" s="86"/>
      <c r="BD31" s="85"/>
      <c r="BE31" s="86"/>
      <c r="BF31" s="86"/>
      <c r="BG31" s="86"/>
      <c r="BH31" s="85"/>
      <c r="BI31" s="86"/>
      <c r="BJ31" s="86"/>
      <c r="BK31" s="86"/>
      <c r="BL31" s="85">
        <f>HLOOKUP(B31,'RTN-2.2'!$A$5:$AC$164,159,0)*(-1)</f>
        <v>100896.42538302</v>
      </c>
      <c r="BM31" s="86">
        <f>HLOOKUP(B31,'RTN-2.2-A'!$A$5:$AC$164,159,0)*100*(-1)</f>
        <v>5.8730697692443421</v>
      </c>
      <c r="BN31" s="87">
        <f>HLOOKUP(B31,'RTN-2.2'!$A$5:$AC$164,151,0)</f>
        <v>39080.048409829426</v>
      </c>
      <c r="BO31" s="87">
        <f>HLOOKUP(B31,'RTN-2.2-A'!$A$5:$AC$164,151,0)*100</f>
        <v>2.2748065654960339</v>
      </c>
      <c r="BP31" s="87"/>
      <c r="BQ31" s="87"/>
      <c r="BR31" s="88"/>
      <c r="BS31" s="88"/>
    </row>
    <row r="32" spans="2:83">
      <c r="B32" s="30">
        <v>2004</v>
      </c>
      <c r="C32" s="79">
        <v>1957751.2129625618</v>
      </c>
      <c r="D32" s="79"/>
      <c r="E32" s="79"/>
      <c r="F32" s="80"/>
      <c r="G32" s="79">
        <v>5.7599646368600155</v>
      </c>
      <c r="H32" s="196">
        <v>339087.07796384202</v>
      </c>
      <c r="I32" s="79">
        <f t="shared" si="1"/>
        <v>17.320233322737643</v>
      </c>
      <c r="J32" s="196">
        <v>1178694.99520058</v>
      </c>
      <c r="K32" s="79">
        <f t="shared" si="2"/>
        <v>60.206577188984248</v>
      </c>
      <c r="L32" s="196">
        <v>257101.50118791108</v>
      </c>
      <c r="M32" s="79">
        <f t="shared" si="3"/>
        <v>13.132490966451909</v>
      </c>
      <c r="N32" s="196">
        <v>323924.84673222288</v>
      </c>
      <c r="O32" s="80">
        <f t="shared" si="4"/>
        <v>16.545761513897595</v>
      </c>
      <c r="P32" s="81">
        <v>7.5994958488264217</v>
      </c>
      <c r="Q32" s="81">
        <v>17.75</v>
      </c>
      <c r="R32" s="81"/>
      <c r="S32" s="81">
        <v>16.190000000000001</v>
      </c>
      <c r="T32" s="81">
        <v>2.6858999999999993</v>
      </c>
      <c r="U32" s="198">
        <v>669340</v>
      </c>
      <c r="V32" s="198">
        <v>8959.3133642429711</v>
      </c>
      <c r="W32" s="82">
        <f t="shared" si="5"/>
        <v>1.3385295013360881</v>
      </c>
      <c r="X32" s="197">
        <v>-213.09614708999993</v>
      </c>
      <c r="Y32" s="199">
        <f t="shared" si="6"/>
        <v>-3.1836756669256276E-2</v>
      </c>
      <c r="Z32" s="197">
        <v>11153.288499953487</v>
      </c>
      <c r="AA32" s="82">
        <f t="shared" si="7"/>
        <v>1.6663113664137041</v>
      </c>
      <c r="AB32" s="197">
        <v>2407.0712828005176</v>
      </c>
      <c r="AC32" s="82">
        <f t="shared" si="8"/>
        <v>0.3596186217468727</v>
      </c>
      <c r="AD32" s="197">
        <v>52935</v>
      </c>
      <c r="AE32" s="82">
        <f t="shared" si="0"/>
        <v>7.9085367675620759</v>
      </c>
      <c r="AF32" s="82"/>
      <c r="AG32" s="82"/>
      <c r="AH32" s="197">
        <v>18161.380459753353</v>
      </c>
      <c r="AI32" s="82">
        <f t="shared" si="9"/>
        <v>2.7133266291799911</v>
      </c>
      <c r="AJ32" s="83">
        <f>HLOOKUP(B32,'RTN-2.2'!$A$5:$AC$164,2,0)</f>
        <v>418993.28915699339</v>
      </c>
      <c r="AK32" s="176">
        <f>HLOOKUP(B32,'RTN-2.2-A'!$A$5:$AC$164,2,0)*100</f>
        <v>21.401763737025263</v>
      </c>
      <c r="AL32" s="84"/>
      <c r="AM32" s="84"/>
      <c r="AN32" s="84">
        <f>HLOOKUP(B32,'RTN-2.2'!$A$5:$AC$164,3,0)</f>
        <v>286807.66722300003</v>
      </c>
      <c r="AO32" s="176">
        <f>HLOOKUP(B32,'RTN-2.2-A'!$A$5:$AC$164,3,0)*100</f>
        <v>14.649852612732611</v>
      </c>
      <c r="AP32" s="84"/>
      <c r="AQ32" s="84"/>
      <c r="AR32" s="83">
        <f>HLOOKUP(B32,'RTN-2.2'!$A$5:$AC$164,15,0)</f>
        <v>23684.779230999997</v>
      </c>
      <c r="AS32" s="176">
        <f>HLOOKUP(B32,'RTN-2.2-A'!$A$5:$AC$164,15,0)*100</f>
        <v>1.209795150383745</v>
      </c>
      <c r="AT32" s="83">
        <f>HLOOKUP(B32,'RTN-2.2'!$A$5:$AC$164,16,0)</f>
        <v>17168.746700999996</v>
      </c>
      <c r="AU32" s="176">
        <f>HLOOKUP(B32,'RTN-2.2-A'!$A$5:$AC$164,16,0)*100</f>
        <v>0.87696263893610116</v>
      </c>
      <c r="AV32" s="84">
        <f>HLOOKUP(B32,'RTN-2.2'!$A$5:$AC$164,13,0)</f>
        <v>36144.180523000003</v>
      </c>
      <c r="AW32" s="176">
        <f>HLOOKUP(B32,'RTN-2.2-A'!$A$5:$AC$164,13,0)*100</f>
        <v>1.8462090731285998</v>
      </c>
      <c r="AX32" s="83"/>
      <c r="AY32" s="84"/>
      <c r="AZ32" s="85">
        <f>HLOOKUP(B32,'RTN-2.2'!$A$5:$AC$164,59,0)</f>
        <v>305610.65847150999</v>
      </c>
      <c r="BA32" s="86">
        <f>HLOOKUP(B32,'RTN-2.2-A'!$A$5:$AC$164,59,0)*100</f>
        <v>15.610290850441908</v>
      </c>
      <c r="BB32" s="85"/>
      <c r="BC32" s="86"/>
      <c r="BD32" s="85"/>
      <c r="BE32" s="86"/>
      <c r="BF32" s="86"/>
      <c r="BG32" s="86"/>
      <c r="BH32" s="85"/>
      <c r="BI32" s="86"/>
      <c r="BJ32" s="86"/>
      <c r="BK32" s="86"/>
      <c r="BL32" s="85">
        <f>HLOOKUP(B32,'RTN-2.2'!$A$5:$AC$164,159,0)*(-1)</f>
        <v>79418.516576930007</v>
      </c>
      <c r="BM32" s="86">
        <f>HLOOKUP(B32,'RTN-2.2-A'!$A$5:$AC$164,159,0)*100*(-1)</f>
        <v>4.0566194545603276</v>
      </c>
      <c r="BN32" s="87">
        <f>HLOOKUP(B32,'RTN-2.2'!$A$5:$AC$164,151,0)</f>
        <v>49341.425306879544</v>
      </c>
      <c r="BO32" s="87">
        <f>HLOOKUP(B32,'RTN-2.2-A'!$A$5:$AC$164,151,0)*100</f>
        <v>2.5203113133161494</v>
      </c>
      <c r="BP32" s="87"/>
      <c r="BQ32" s="87"/>
      <c r="BR32" s="88"/>
      <c r="BS32" s="88"/>
    </row>
    <row r="33" spans="2:73">
      <c r="B33" s="30">
        <v>2005</v>
      </c>
      <c r="C33" s="79">
        <v>2170584.5034757704</v>
      </c>
      <c r="D33" s="79"/>
      <c r="E33" s="79"/>
      <c r="F33" s="80"/>
      <c r="G33" s="79">
        <v>3.2021352351273569</v>
      </c>
      <c r="H33" s="196">
        <v>370218.87507059495</v>
      </c>
      <c r="I33" s="79">
        <f t="shared" si="1"/>
        <v>17.056183460158366</v>
      </c>
      <c r="J33" s="196">
        <v>1313295.9137046724</v>
      </c>
      <c r="K33" s="79">
        <f t="shared" si="2"/>
        <v>60.504251808749373</v>
      </c>
      <c r="L33" s="196">
        <v>257061.58344731078</v>
      </c>
      <c r="M33" s="79">
        <f t="shared" si="3"/>
        <v>11.842965940080955</v>
      </c>
      <c r="N33" s="196">
        <v>330880.1957660169</v>
      </c>
      <c r="O33" s="80">
        <f t="shared" si="4"/>
        <v>15.243829265166889</v>
      </c>
      <c r="P33" s="81">
        <v>5.6892268187350936</v>
      </c>
      <c r="Q33" s="81">
        <v>18</v>
      </c>
      <c r="R33" s="81"/>
      <c r="S33" s="81">
        <v>16.55</v>
      </c>
      <c r="T33" s="81">
        <v>2.3412899999999994</v>
      </c>
      <c r="U33" s="198">
        <v>892033</v>
      </c>
      <c r="V33" s="198">
        <v>11679.374942117594</v>
      </c>
      <c r="W33" s="82">
        <f t="shared" si="5"/>
        <v>1.3092985284308534</v>
      </c>
      <c r="X33" s="197">
        <v>187.04449177999999</v>
      </c>
      <c r="Y33" s="199">
        <f t="shared" si="6"/>
        <v>2.096833769378487E-2</v>
      </c>
      <c r="Z33" s="197">
        <v>15204.31458792766</v>
      </c>
      <c r="AA33" s="82">
        <f t="shared" si="7"/>
        <v>1.7044565153898634</v>
      </c>
      <c r="AB33" s="197">
        <v>3337.8951540300659</v>
      </c>
      <c r="AC33" s="82">
        <f t="shared" si="8"/>
        <v>0.37418964926522519</v>
      </c>
      <c r="AD33" s="197">
        <v>53799</v>
      </c>
      <c r="AE33" s="82">
        <f t="shared" si="0"/>
        <v>6.0310549049194373</v>
      </c>
      <c r="AF33" s="82"/>
      <c r="AG33" s="82"/>
      <c r="AH33" s="197">
        <v>15459.981604119619</v>
      </c>
      <c r="AI33" s="82">
        <f t="shared" si="9"/>
        <v>1.7331176766016076</v>
      </c>
      <c r="AJ33" s="83">
        <f>HLOOKUP(B33,'RTN-2.2'!$A$5:$AC$164,2,0)</f>
        <v>487822.08090402954</v>
      </c>
      <c r="AK33" s="176">
        <f>HLOOKUP(B33,'RTN-2.2-A'!$A$5:$AC$164,2,0)*100</f>
        <v>22.474226648300366</v>
      </c>
      <c r="AL33" s="84"/>
      <c r="AM33" s="84"/>
      <c r="AN33" s="84">
        <f>HLOOKUP(B33,'RTN-2.2'!$A$5:$AC$164,3,0)</f>
        <v>333069.63118063996</v>
      </c>
      <c r="AO33" s="176">
        <f>HLOOKUP(B33,'RTN-2.2-A'!$A$5:$AC$164,3,0)*100</f>
        <v>15.344697736821287</v>
      </c>
      <c r="AP33" s="84"/>
      <c r="AQ33" s="84"/>
      <c r="AR33" s="83">
        <f>HLOOKUP(B33,'RTN-2.2'!$A$5:$AC$164,15,0)</f>
        <v>28736.411149999996</v>
      </c>
      <c r="AS33" s="176">
        <f>HLOOKUP(B33,'RTN-2.2-A'!$A$5:$AC$164,15,0)*100</f>
        <v>1.3239019768170377</v>
      </c>
      <c r="AT33" s="83">
        <f>HLOOKUP(B33,'RTN-2.2'!$A$5:$AC$164,16,0)</f>
        <v>19967.360357999998</v>
      </c>
      <c r="AU33" s="176">
        <f>HLOOKUP(B33,'RTN-2.2-A'!$A$5:$AC$164,16,0)*100</f>
        <v>0.9199070723128332</v>
      </c>
      <c r="AV33" s="84">
        <f>HLOOKUP(B33,'RTN-2.2'!$A$5:$AC$164,13,0)</f>
        <v>48964.976510629996</v>
      </c>
      <c r="AW33" s="176">
        <f>HLOOKUP(B33,'RTN-2.2-A'!$A$5:$AC$164,13,0)*100</f>
        <v>2.2558429046287807</v>
      </c>
      <c r="AX33" s="83"/>
      <c r="AY33" s="84"/>
      <c r="AZ33" s="85">
        <f>HLOOKUP(B33,'RTN-2.2'!$A$5:$AC$164,59,0)</f>
        <v>354925.37863825954</v>
      </c>
      <c r="BA33" s="86">
        <f>HLOOKUP(B33,'RTN-2.2-A'!$A$5:$AC$164,59,0)*100</f>
        <v>16.351603822376667</v>
      </c>
      <c r="BB33" s="85"/>
      <c r="BC33" s="86"/>
      <c r="BD33" s="85"/>
      <c r="BE33" s="86"/>
      <c r="BF33" s="86"/>
      <c r="BG33" s="86"/>
      <c r="BH33" s="85"/>
      <c r="BI33" s="86"/>
      <c r="BJ33" s="86"/>
      <c r="BK33" s="86"/>
      <c r="BL33" s="85">
        <f>HLOOKUP(B33,'RTN-2.2'!$A$5:$AC$164,159,0)*(-1)</f>
        <v>129025.37226321001</v>
      </c>
      <c r="BM33" s="86">
        <f>HLOOKUP(B33,'RTN-2.2-A'!$A$5:$AC$164,159,0)*100*(-1)</f>
        <v>5.9442685625277862</v>
      </c>
      <c r="BN33" s="87">
        <f>HLOOKUP(B33,'RTN-2.2'!$A$5:$AC$164,151,0)</f>
        <v>52673.167728718137</v>
      </c>
      <c r="BO33" s="87">
        <f>HLOOKUP(B33,'RTN-2.2-A'!$A$5:$AC$164,151,0)*100</f>
        <v>2.4266812761434671</v>
      </c>
      <c r="BP33" s="87"/>
      <c r="BQ33" s="87"/>
      <c r="BR33" s="88"/>
      <c r="BS33" s="88"/>
    </row>
    <row r="34" spans="2:73">
      <c r="B34" s="30">
        <v>2006</v>
      </c>
      <c r="C34" s="79">
        <v>2409449.9215425947</v>
      </c>
      <c r="D34" s="79"/>
      <c r="E34" s="79"/>
      <c r="F34" s="80"/>
      <c r="G34" s="79">
        <v>3.9619886853716091</v>
      </c>
      <c r="H34" s="196">
        <v>414673.54961176508</v>
      </c>
      <c r="I34" s="79">
        <f t="shared" si="1"/>
        <v>17.21029957519432</v>
      </c>
      <c r="J34" s="196">
        <v>1456215.5480455877</v>
      </c>
      <c r="K34" s="79">
        <f t="shared" si="2"/>
        <v>60.437676459914933</v>
      </c>
      <c r="L34" s="196">
        <v>281119.76465438737</v>
      </c>
      <c r="M34" s="79">
        <f t="shared" si="3"/>
        <v>11.667383585810612</v>
      </c>
      <c r="N34" s="196">
        <v>346341.95286405028</v>
      </c>
      <c r="O34" s="80">
        <f t="shared" si="4"/>
        <v>14.374316302133927</v>
      </c>
      <c r="P34" s="81">
        <v>3.1415161315768785</v>
      </c>
      <c r="Q34" s="81">
        <v>13.25</v>
      </c>
      <c r="R34" s="81"/>
      <c r="S34" s="81">
        <v>12.04</v>
      </c>
      <c r="T34" s="81">
        <v>2.1487699999999998</v>
      </c>
      <c r="U34" s="198">
        <v>1107131</v>
      </c>
      <c r="V34" s="198">
        <v>10773.99992446167</v>
      </c>
      <c r="W34" s="82">
        <f t="shared" si="5"/>
        <v>0.97314589912681249</v>
      </c>
      <c r="X34" s="197">
        <v>179.726415</v>
      </c>
      <c r="Y34" s="199">
        <f t="shared" si="6"/>
        <v>1.6233527468745793E-2</v>
      </c>
      <c r="Z34" s="197">
        <v>15429.690200198196</v>
      </c>
      <c r="AA34" s="82">
        <f t="shared" si="7"/>
        <v>1.3936643631330163</v>
      </c>
      <c r="AB34" s="197">
        <v>4475.9638607365268</v>
      </c>
      <c r="AC34" s="82">
        <f t="shared" si="8"/>
        <v>0.40428493653745823</v>
      </c>
      <c r="AD34" s="197">
        <v>85839</v>
      </c>
      <c r="AE34" s="82">
        <f t="shared" si="0"/>
        <v>7.7532830351602477</v>
      </c>
      <c r="AF34" s="82"/>
      <c r="AG34" s="82"/>
      <c r="AH34" s="197">
        <v>19418.085598079364</v>
      </c>
      <c r="AI34" s="82">
        <f t="shared" si="9"/>
        <v>1.753910386221627</v>
      </c>
      <c r="AJ34" s="83">
        <f>HLOOKUP(B34,'RTN-2.2'!$A$5:$AC$164,2,0)</f>
        <v>542810.00541032897</v>
      </c>
      <c r="AK34" s="176">
        <f>HLOOKUP(B34,'RTN-2.2-A'!$A$5:$AC$164,2,0)*100</f>
        <v>22.528378803690078</v>
      </c>
      <c r="AL34" s="84"/>
      <c r="AM34" s="84"/>
      <c r="AN34" s="84">
        <f>HLOOKUP(B34,'RTN-2.2'!$A$5:$AC$164,3,0)</f>
        <v>359189.16918996006</v>
      </c>
      <c r="AO34" s="176">
        <f>HLOOKUP(B34,'RTN-2.2-A'!$A$5:$AC$164,3,0)*100</f>
        <v>14.90751752001542</v>
      </c>
      <c r="AP34" s="84"/>
      <c r="AQ34" s="84"/>
      <c r="AR34" s="83">
        <f>HLOOKUP(B34,'RTN-2.2'!$A$5:$AC$164,15,0)</f>
        <v>29902.24263805</v>
      </c>
      <c r="AS34" s="176">
        <f>HLOOKUP(B34,'RTN-2.2-A'!$A$5:$AC$164,15,0)*100</f>
        <v>1.2410402212844409</v>
      </c>
      <c r="AT34" s="83">
        <f>HLOOKUP(B34,'RTN-2.2'!$A$5:$AC$164,16,0)</f>
        <v>21293.286816419997</v>
      </c>
      <c r="AU34" s="176">
        <f>HLOOKUP(B34,'RTN-2.2-A'!$A$5:$AC$164,16,0)*100</f>
        <v>0.8837405843565932</v>
      </c>
      <c r="AV34" s="84">
        <f>HLOOKUP(B34,'RTN-2.2'!$A$5:$AC$164,13,0)</f>
        <v>53965.86370948</v>
      </c>
      <c r="AW34" s="176">
        <f>HLOOKUP(B34,'RTN-2.2-A'!$A$5:$AC$164,13,0)*100</f>
        <v>2.2397586779861194</v>
      </c>
      <c r="AX34" s="83"/>
      <c r="AY34" s="84"/>
      <c r="AZ34" s="85">
        <f>HLOOKUP(B34,'RTN-2.2'!$A$5:$AC$164,59,0)</f>
        <v>403738.39180313505</v>
      </c>
      <c r="BA34" s="86">
        <f>HLOOKUP(B34,'RTN-2.2-A'!$A$5:$AC$164,59,0)*100</f>
        <v>16.756454998020914</v>
      </c>
      <c r="BB34" s="85"/>
      <c r="BC34" s="86"/>
      <c r="BD34" s="85"/>
      <c r="BE34" s="86"/>
      <c r="BF34" s="86"/>
      <c r="BG34" s="86"/>
      <c r="BH34" s="85"/>
      <c r="BI34" s="86"/>
      <c r="BJ34" s="86"/>
      <c r="BK34" s="86"/>
      <c r="BL34" s="85">
        <f>HLOOKUP(B34,'RTN-2.2'!$A$5:$AC$164,159,0)*(-1)</f>
        <v>125826.61550689999</v>
      </c>
      <c r="BM34" s="86">
        <f>HLOOKUP(B34,'RTN-2.2-A'!$A$5:$AC$164,159,0)*100*(-1)</f>
        <v>5.2222133517654701</v>
      </c>
      <c r="BN34" s="87">
        <f>HLOOKUP(B34,'RTN-2.2'!$A$5:$AC$164,151,0)</f>
        <v>48748.230040261136</v>
      </c>
      <c r="BO34" s="87">
        <f>HLOOKUP(B34,'RTN-2.2-A'!$A$5:$AC$164,151,0)*100</f>
        <v>2.0232099287231176</v>
      </c>
      <c r="BP34" s="87"/>
      <c r="BQ34" s="87"/>
      <c r="BR34" s="88"/>
      <c r="BS34" s="88"/>
    </row>
    <row r="35" spans="2:73">
      <c r="B35" s="30">
        <v>2007</v>
      </c>
      <c r="C35" s="79">
        <v>2720262.9375612875</v>
      </c>
      <c r="D35" s="79"/>
      <c r="E35" s="79"/>
      <c r="F35" s="80"/>
      <c r="G35" s="79">
        <v>6.0698706243928147</v>
      </c>
      <c r="H35" s="196">
        <v>489532.02611488278</v>
      </c>
      <c r="I35" s="79">
        <f t="shared" si="1"/>
        <v>17.995761341870416</v>
      </c>
      <c r="J35" s="196">
        <v>1628756.0075808379</v>
      </c>
      <c r="K35" s="79">
        <f t="shared" si="2"/>
        <v>59.874947568157353</v>
      </c>
      <c r="L35" s="196">
        <v>325477.72689591418</v>
      </c>
      <c r="M35" s="79">
        <f t="shared" si="3"/>
        <v>11.9649362714806</v>
      </c>
      <c r="N35" s="196">
        <v>362547.80630085547</v>
      </c>
      <c r="O35" s="80">
        <f t="shared" si="4"/>
        <v>13.327675104299995</v>
      </c>
      <c r="P35" s="81">
        <v>4.457658553373733</v>
      </c>
      <c r="Q35" s="81">
        <v>11.25</v>
      </c>
      <c r="R35" s="81"/>
      <c r="S35" s="81">
        <v>10.32</v>
      </c>
      <c r="T35" s="81">
        <v>1.7903200000000001</v>
      </c>
      <c r="U35" s="198">
        <v>1396797</v>
      </c>
      <c r="V35" s="198">
        <v>-2753.6701955186436</v>
      </c>
      <c r="W35" s="82">
        <f t="shared" si="5"/>
        <v>-0.19714176043610082</v>
      </c>
      <c r="X35" s="197">
        <v>249.36078313999997</v>
      </c>
      <c r="Y35" s="199">
        <f t="shared" si="6"/>
        <v>1.7852328086328934E-2</v>
      </c>
      <c r="Z35" s="197">
        <v>681.90923763247974</v>
      </c>
      <c r="AA35" s="82">
        <f t="shared" si="7"/>
        <v>4.8819494717734918E-2</v>
      </c>
      <c r="AB35" s="197">
        <v>3186.2186500111243</v>
      </c>
      <c r="AC35" s="82">
        <f t="shared" si="8"/>
        <v>0.22810892706750688</v>
      </c>
      <c r="AD35" s="197">
        <v>180334</v>
      </c>
      <c r="AE35" s="82">
        <f t="shared" si="0"/>
        <v>12.910537465358244</v>
      </c>
      <c r="AF35" s="82"/>
      <c r="AG35" s="82"/>
      <c r="AH35" s="197">
        <v>44579.49246363352</v>
      </c>
      <c r="AI35" s="82">
        <f t="shared" si="9"/>
        <v>3.1915512750695716</v>
      </c>
      <c r="AJ35" s="83">
        <f>HLOOKUP(B35,'RTN-2.2'!$A$5:$AC$164,2,0)</f>
        <v>618352.10846039292</v>
      </c>
      <c r="AK35" s="176">
        <f>HLOOKUP(B35,'RTN-2.2-A'!$A$5:$AC$164,2,0)*100</f>
        <v>22.731336001465515</v>
      </c>
      <c r="AL35" s="84"/>
      <c r="AM35" s="84"/>
      <c r="AN35" s="84">
        <f>HLOOKUP(B35,'RTN-2.2'!$A$5:$AC$164,3,0)</f>
        <v>417509.43861414999</v>
      </c>
      <c r="AO35" s="176">
        <f>HLOOKUP(B35,'RTN-2.2-A'!$A$5:$AC$164,3,0)*100</f>
        <v>15.348128037521485</v>
      </c>
      <c r="AP35" s="84"/>
      <c r="AQ35" s="84"/>
      <c r="AR35" s="83">
        <f>HLOOKUP(B35,'RTN-2.2'!$A$5:$AC$164,15,0)</f>
        <v>32071.985981460006</v>
      </c>
      <c r="AS35" s="176">
        <f>HLOOKUP(B35,'RTN-2.2-A'!$A$5:$AC$164,15,0)*100</f>
        <v>1.1790031595332644</v>
      </c>
      <c r="AT35" s="83">
        <f>HLOOKUP(B35,'RTN-2.2'!$A$5:$AC$164,16,0)</f>
        <v>21488.195078249999</v>
      </c>
      <c r="AU35" s="176">
        <f>HLOOKUP(B35,'RTN-2.2-A'!$A$5:$AC$164,16,0)*100</f>
        <v>0.78993081078824379</v>
      </c>
      <c r="AV35" s="84">
        <f>HLOOKUP(B35,'RTN-2.2'!$A$5:$AC$164,13,0)</f>
        <v>67797.984002559999</v>
      </c>
      <c r="AW35" s="176">
        <f>HLOOKUP(B35,'RTN-2.2-A'!$A$5:$AC$164,13,0)*100</f>
        <v>2.4923320119686938</v>
      </c>
      <c r="AX35" s="83"/>
      <c r="AY35" s="84"/>
      <c r="AZ35" s="85">
        <f>HLOOKUP(B35,'RTN-2.2'!$A$5:$AC$164,59,0)</f>
        <v>458785.04724184639</v>
      </c>
      <c r="BA35" s="86">
        <f>HLOOKUP(B35,'RTN-2.2-A'!$A$5:$AC$164,59,0)*100</f>
        <v>16.865466970378463</v>
      </c>
      <c r="BB35" s="85"/>
      <c r="BC35" s="86"/>
      <c r="BD35" s="85"/>
      <c r="BE35" s="86"/>
      <c r="BF35" s="86"/>
      <c r="BG35" s="86"/>
      <c r="BH35" s="85"/>
      <c r="BI35" s="86"/>
      <c r="BJ35" s="86"/>
      <c r="BK35" s="86"/>
      <c r="BL35" s="85">
        <f>HLOOKUP(B35,'RTN-2.2'!$A$5:$AC$164,159,0)*(-1)</f>
        <v>119045.70192031999</v>
      </c>
      <c r="BM35" s="86">
        <f>HLOOKUP(B35,'RTN-2.2-A'!$A$5:$AC$164,159,0)*100*(-1)</f>
        <v>4.3762571726630295</v>
      </c>
      <c r="BN35" s="87">
        <f>HLOOKUP(B35,'RTN-2.2'!$A$5:$AC$164,151,0)</f>
        <v>57650.388867201029</v>
      </c>
      <c r="BO35" s="87">
        <f>HLOOKUP(B35,'RTN-2.2-A'!$A$5:$AC$164,151,0)*100</f>
        <v>2.1192947222552121</v>
      </c>
      <c r="BP35" s="87"/>
      <c r="BQ35" s="87"/>
      <c r="BR35" s="88"/>
      <c r="BS35" s="88"/>
    </row>
    <row r="36" spans="2:73">
      <c r="B36" s="30">
        <v>2008</v>
      </c>
      <c r="C36" s="79">
        <v>3109803.0889492175</v>
      </c>
      <c r="D36" s="79"/>
      <c r="E36" s="79"/>
      <c r="F36" s="80"/>
      <c r="G36" s="79">
        <v>5.0941954476708906</v>
      </c>
      <c r="H36" s="196">
        <v>602845.57728884381</v>
      </c>
      <c r="I36" s="79">
        <f t="shared" si="1"/>
        <v>19.385329554500554</v>
      </c>
      <c r="J36" s="196">
        <v>1857510.0353801528</v>
      </c>
      <c r="K36" s="79">
        <f t="shared" si="2"/>
        <v>59.730792665968877</v>
      </c>
      <c r="L36" s="196">
        <v>426775.9696659199</v>
      </c>
      <c r="M36" s="79">
        <f t="shared" si="3"/>
        <v>13.723568903204248</v>
      </c>
      <c r="N36" s="196">
        <v>420880.7660238375</v>
      </c>
      <c r="O36" s="80">
        <f t="shared" si="4"/>
        <v>13.534000513391039</v>
      </c>
      <c r="P36" s="81">
        <v>5.9027243906546403</v>
      </c>
      <c r="Q36" s="81">
        <v>13.75</v>
      </c>
      <c r="R36" s="81"/>
      <c r="S36" s="81">
        <v>12.5</v>
      </c>
      <c r="T36" s="81">
        <v>2.3663600000000002</v>
      </c>
      <c r="U36" s="198">
        <v>1693147</v>
      </c>
      <c r="V36" s="198">
        <v>-35601.7276128429</v>
      </c>
      <c r="W36" s="82">
        <f t="shared" si="5"/>
        <v>-2.1026956084051118</v>
      </c>
      <c r="X36" s="197">
        <v>152.09662678000001</v>
      </c>
      <c r="Y36" s="199">
        <f t="shared" si="6"/>
        <v>8.9830727503282352E-3</v>
      </c>
      <c r="Z36" s="197">
        <v>-24139.910814638301</v>
      </c>
      <c r="AA36" s="82">
        <f t="shared" si="7"/>
        <v>-1.425742172099546</v>
      </c>
      <c r="AB36" s="197">
        <v>11309.720171424593</v>
      </c>
      <c r="AC36" s="82">
        <f t="shared" si="8"/>
        <v>0.6679703635552372</v>
      </c>
      <c r="AD36" s="197">
        <v>193783</v>
      </c>
      <c r="AE36" s="82">
        <f t="shared" si="0"/>
        <v>11.445137368462396</v>
      </c>
      <c r="AF36" s="82"/>
      <c r="AG36" s="82"/>
      <c r="AH36" s="197">
        <v>50716.402711478717</v>
      </c>
      <c r="AI36" s="82">
        <f t="shared" si="9"/>
        <v>2.9953927633855013</v>
      </c>
      <c r="AJ36" s="83">
        <f>HLOOKUP(B36,'RTN-2.2'!$A$5:$AC$164,2,0)</f>
        <v>715615.89529064007</v>
      </c>
      <c r="AK36" s="176">
        <f>HLOOKUP(B36,'RTN-2.2-A'!$A$5:$AC$164,2,0)*100</f>
        <v>23.011614395573915</v>
      </c>
      <c r="AL36" s="84"/>
      <c r="AM36" s="84"/>
      <c r="AN36" s="84">
        <f>HLOOKUP(B36,'RTN-2.2'!$A$5:$AC$164,3,0)</f>
        <v>466337.04441949003</v>
      </c>
      <c r="AO36" s="176">
        <f>HLOOKUP(B36,'RTN-2.2-A'!$A$5:$AC$164,3,0)*100</f>
        <v>14.995709730839021</v>
      </c>
      <c r="AP36" s="84"/>
      <c r="AQ36" s="84"/>
      <c r="AR36" s="83">
        <f>HLOOKUP(B36,'RTN-2.2'!$A$5:$AC$164,15,0)</f>
        <v>41345.878820289996</v>
      </c>
      <c r="AS36" s="176">
        <f>HLOOKUP(B36,'RTN-2.2-A'!$A$5:$AC$164,15,0)*100</f>
        <v>1.3295336597745975</v>
      </c>
      <c r="AT36" s="83">
        <f>HLOOKUP(B36,'RTN-2.2'!$A$5:$AC$164,16,0)</f>
        <v>25585.370727739999</v>
      </c>
      <c r="AU36" s="176">
        <f>HLOOKUP(B36,'RTN-2.2-A'!$A$5:$AC$164,16,0)*100</f>
        <v>0.82273282249472401</v>
      </c>
      <c r="AV36" s="84">
        <f>HLOOKUP(B36,'RTN-2.2'!$A$5:$AC$164,13,0)</f>
        <v>81414.288843909992</v>
      </c>
      <c r="AW36" s="176">
        <f>HLOOKUP(B36,'RTN-2.2-A'!$A$5:$AC$164,13,0)*100</f>
        <v>2.6179885515329975</v>
      </c>
      <c r="AX36" s="83"/>
      <c r="AY36" s="84"/>
      <c r="AZ36" s="85">
        <f>HLOOKUP(B36,'RTN-2.2'!$A$5:$AC$164,59,0)</f>
        <v>516818.49425449455</v>
      </c>
      <c r="BA36" s="86">
        <f>HLOOKUP(B36,'RTN-2.2-A'!$A$5:$AC$164,59,0)*100</f>
        <v>16.619010254733666</v>
      </c>
      <c r="BB36" s="85"/>
      <c r="BC36" s="86"/>
      <c r="BD36" s="85"/>
      <c r="BE36" s="86"/>
      <c r="BF36" s="86"/>
      <c r="BG36" s="86"/>
      <c r="BH36" s="85"/>
      <c r="BI36" s="86"/>
      <c r="BJ36" s="86"/>
      <c r="BK36" s="86"/>
      <c r="BL36" s="85">
        <f>HLOOKUP(B36,'RTN-2.2'!$A$5:$AC$164,159,0)*(-1)</f>
        <v>96198.680136319992</v>
      </c>
      <c r="BM36" s="86">
        <f>HLOOKUP(B36,'RTN-2.2-A'!$A$5:$AC$164,159,0)*100*(-1)</f>
        <v>3.0934010091560156</v>
      </c>
      <c r="BN36" s="87">
        <f>HLOOKUP(B36,'RTN-2.2'!$A$5:$AC$164,151,0)</f>
        <v>71438.38914085034</v>
      </c>
      <c r="BO36" s="87">
        <f>HLOOKUP(B36,'RTN-2.2-A'!$A$5:$AC$164,151,0)*100</f>
        <v>2.2971997614482063</v>
      </c>
      <c r="BP36" s="87"/>
      <c r="BQ36" s="87"/>
      <c r="BR36" s="93">
        <f>'BCB-DBGG-anual'!B4</f>
        <v>1740887.81455873</v>
      </c>
      <c r="BS36" s="93">
        <f>'BCB-DBGG-anual'!C4</f>
        <v>55.980644586309268</v>
      </c>
    </row>
    <row r="37" spans="2:73">
      <c r="B37" s="30">
        <v>2009</v>
      </c>
      <c r="C37" s="79">
        <v>3333039.3551809741</v>
      </c>
      <c r="D37" s="79"/>
      <c r="E37" s="79"/>
      <c r="F37" s="80"/>
      <c r="G37" s="79">
        <v>-0.12581200485802801</v>
      </c>
      <c r="H37" s="196">
        <v>636675.77903820132</v>
      </c>
      <c r="I37" s="79">
        <f t="shared" si="1"/>
        <v>19.101958038645233</v>
      </c>
      <c r="J37" s="196">
        <v>2065033.191664862</v>
      </c>
      <c r="K37" s="79">
        <f t="shared" si="2"/>
        <v>61.956459903628613</v>
      </c>
      <c r="L37" s="196">
        <v>375120.39628948091</v>
      </c>
      <c r="M37" s="79">
        <f t="shared" si="3"/>
        <v>11.254604471032806</v>
      </c>
      <c r="N37" s="196">
        <v>361680.47050757485</v>
      </c>
      <c r="O37" s="80">
        <f t="shared" si="4"/>
        <v>10.851371135038299</v>
      </c>
      <c r="P37" s="81">
        <v>4.3116500625678356</v>
      </c>
      <c r="Q37" s="81">
        <v>8.75</v>
      </c>
      <c r="R37" s="81"/>
      <c r="S37" s="81">
        <v>8.16</v>
      </c>
      <c r="T37" s="81">
        <v>1.76247</v>
      </c>
      <c r="U37" s="198">
        <v>1672625</v>
      </c>
      <c r="V37" s="198">
        <v>-29328.433093615491</v>
      </c>
      <c r="W37" s="82">
        <f t="shared" si="5"/>
        <v>-1.7534374467448168</v>
      </c>
      <c r="X37" s="197">
        <v>237.21730405</v>
      </c>
      <c r="Y37" s="199">
        <f t="shared" si="6"/>
        <v>1.4182336390404303E-2</v>
      </c>
      <c r="Z37" s="197">
        <v>-23454.391003101264</v>
      </c>
      <c r="AA37" s="82">
        <f t="shared" si="7"/>
        <v>-1.4022504149526203</v>
      </c>
      <c r="AB37" s="197">
        <v>5636.824786464229</v>
      </c>
      <c r="AC37" s="82">
        <f t="shared" si="8"/>
        <v>0.33700469540179234</v>
      </c>
      <c r="AD37" s="197">
        <v>238520</v>
      </c>
      <c r="AE37" s="82">
        <f t="shared" si="0"/>
        <v>14.26021971452059</v>
      </c>
      <c r="AF37" s="82"/>
      <c r="AG37" s="82"/>
      <c r="AH37" s="197">
        <v>31480.931700000001</v>
      </c>
      <c r="AI37" s="82">
        <f t="shared" si="9"/>
        <v>1.8821272969135341</v>
      </c>
      <c r="AJ37" s="83">
        <f>HLOOKUP(B37,'RTN-2.2'!$A$5:$AC$164,2,0)</f>
        <v>738124.94594997982</v>
      </c>
      <c r="AK37" s="176">
        <f>HLOOKUP(B37,'RTN-2.2-A'!$A$5:$AC$164,2,0)*100</f>
        <v>22.145701484220908</v>
      </c>
      <c r="AL37" s="84"/>
      <c r="AM37" s="84"/>
      <c r="AN37" s="84">
        <f>HLOOKUP(B37,'RTN-2.2'!$A$5:$AC$164,3,0)</f>
        <v>456139.33125902992</v>
      </c>
      <c r="AO37" s="176">
        <f>HLOOKUP(B37,'RTN-2.2-A'!$A$5:$AC$164,3,0)*100</f>
        <v>13.685386899197386</v>
      </c>
      <c r="AP37" s="84"/>
      <c r="AQ37" s="84"/>
      <c r="AR37" s="83">
        <f>HLOOKUP(B37,'RTN-2.2'!$A$5:$AC$164,15,0)</f>
        <v>42074.016618569993</v>
      </c>
      <c r="AS37" s="176">
        <f>HLOOKUP(B37,'RTN-2.2-A'!$A$5:$AC$164,15,0)*100</f>
        <v>1.2623318279506337</v>
      </c>
      <c r="AT37" s="83">
        <f>HLOOKUP(B37,'RTN-2.2'!$A$5:$AC$164,16,0)</f>
        <v>23431.557994399998</v>
      </c>
      <c r="AU37" s="176">
        <f>HLOOKUP(B37,'RTN-2.2-A'!$A$5:$AC$164,16,0)*100</f>
        <v>0.70300874059519591</v>
      </c>
      <c r="AV37" s="84">
        <f>HLOOKUP(B37,'RTN-2.2'!$A$5:$AC$164,13,0)</f>
        <v>81084.152568810008</v>
      </c>
      <c r="AW37" s="176">
        <f>HLOOKUP(B37,'RTN-2.2-A'!$A$5:$AC$164,13,0)*100</f>
        <v>2.43273912871057</v>
      </c>
      <c r="AX37" s="83"/>
      <c r="AY37" s="84"/>
      <c r="AZ37" s="85">
        <f>HLOOKUP(B37,'RTN-2.2'!$A$5:$AC$164,59,0)</f>
        <v>579009.45437985426</v>
      </c>
      <c r="BA37" s="86">
        <f>HLOOKUP(B37,'RTN-2.2-A'!$A$5:$AC$164,59,0)*100</f>
        <v>17.371815711681446</v>
      </c>
      <c r="BB37" s="85"/>
      <c r="BC37" s="86"/>
      <c r="BD37" s="85"/>
      <c r="BE37" s="86"/>
      <c r="BF37" s="86"/>
      <c r="BG37" s="86"/>
      <c r="BH37" s="85"/>
      <c r="BI37" s="86"/>
      <c r="BJ37" s="86"/>
      <c r="BK37" s="86"/>
      <c r="BL37" s="85">
        <f>HLOOKUP(B37,'RTN-2.2'!$A$5:$AC$164,159,0)*(-1)</f>
        <v>149806.40014884001</v>
      </c>
      <c r="BM37" s="86">
        <f>HLOOKUP(B37,'RTN-2.2-A'!$A$5:$AC$164,159,0)*100*(-1)</f>
        <v>4.4945883977030334</v>
      </c>
      <c r="BN37" s="87">
        <f>HLOOKUP(B37,'RTN-2.2'!$A$5:$AC$164,151,0)</f>
        <v>39436.418863114821</v>
      </c>
      <c r="BO37" s="87">
        <f>HLOOKUP(B37,'RTN-2.2-A'!$A$5:$AC$164,151,0)*100</f>
        <v>1.1831969161064273</v>
      </c>
      <c r="BP37" s="87"/>
      <c r="BQ37" s="87"/>
      <c r="BR37" s="93">
        <f>'BCB-DBGG-anual'!B5</f>
        <v>1973423.68412051</v>
      </c>
      <c r="BS37" s="93">
        <f>'BCB-DBGG-anual'!C5</f>
        <v>59.207932275175956</v>
      </c>
    </row>
    <row r="38" spans="2:73">
      <c r="B38" s="30">
        <v>2010</v>
      </c>
      <c r="C38" s="79">
        <v>3885846.9998368444</v>
      </c>
      <c r="D38" s="79"/>
      <c r="E38" s="79"/>
      <c r="F38" s="80"/>
      <c r="G38" s="79">
        <v>7.5282258172416183</v>
      </c>
      <c r="H38" s="196">
        <v>797945.99996686343</v>
      </c>
      <c r="I38" s="79">
        <f t="shared" si="1"/>
        <v>20.534673650310136</v>
      </c>
      <c r="J38" s="196">
        <v>2340167.0004056538</v>
      </c>
      <c r="K38" s="79">
        <f t="shared" si="2"/>
        <v>60.222829167075055</v>
      </c>
      <c r="L38" s="196">
        <v>462671.99997648288</v>
      </c>
      <c r="M38" s="79">
        <f t="shared" si="3"/>
        <v>11.906593337203168</v>
      </c>
      <c r="N38" s="196">
        <v>422220.0000336098</v>
      </c>
      <c r="O38" s="80">
        <f t="shared" si="4"/>
        <v>10.865584776017625</v>
      </c>
      <c r="P38" s="81">
        <v>5.9086887217945332</v>
      </c>
      <c r="Q38" s="81">
        <v>10.75</v>
      </c>
      <c r="R38" s="81"/>
      <c r="S38" s="81">
        <v>9.09</v>
      </c>
      <c r="T38" s="81">
        <v>1.6878900000000001</v>
      </c>
      <c r="U38" s="198">
        <v>2209751</v>
      </c>
      <c r="V38" s="198">
        <v>-86717.778084250021</v>
      </c>
      <c r="W38" s="82">
        <f t="shared" si="5"/>
        <v>-3.9243235135655565</v>
      </c>
      <c r="X38" s="197">
        <v>242.05349008000005</v>
      </c>
      <c r="Y38" s="199">
        <f t="shared" si="6"/>
        <v>1.0953880780232707E-2</v>
      </c>
      <c r="Z38" s="197">
        <v>-78059.967969849997</v>
      </c>
      <c r="AA38" s="82">
        <f t="shared" si="7"/>
        <v>-3.5325232557808546</v>
      </c>
      <c r="AB38" s="197">
        <v>8415.7566243200035</v>
      </c>
      <c r="AC38" s="82">
        <f t="shared" si="8"/>
        <v>0.38084637700446811</v>
      </c>
      <c r="AD38" s="197">
        <v>288575</v>
      </c>
      <c r="AE38" s="82">
        <f t="shared" si="0"/>
        <v>13.059163679527694</v>
      </c>
      <c r="AF38" s="82"/>
      <c r="AG38" s="82"/>
      <c r="AH38" s="197">
        <v>82389.932468070008</v>
      </c>
      <c r="AI38" s="82">
        <f t="shared" si="9"/>
        <v>3.7284713285827227</v>
      </c>
      <c r="AJ38" s="83">
        <f>HLOOKUP(B38,'RTN-2.2'!$A$5:$AC$164,2,0)</f>
        <v>918531.36949622864</v>
      </c>
      <c r="AK38" s="176">
        <f>HLOOKUP(B38,'RTN-2.2-A'!$A$5:$AC$164,2,0)*100</f>
        <v>23.637867613799397</v>
      </c>
      <c r="AL38" s="84"/>
      <c r="AM38" s="84"/>
      <c r="AN38" s="84">
        <f>HLOOKUP(B38,'RTN-2.2'!$A$5:$AC$164,3,0)</f>
        <v>531205.99159600004</v>
      </c>
      <c r="AO38" s="176">
        <f>HLOOKUP(B38,'RTN-2.2-A'!$A$5:$AC$164,3,0)*100</f>
        <v>13.670275531133985</v>
      </c>
      <c r="AP38" s="84"/>
      <c r="AQ38" s="84"/>
      <c r="AR38" s="83">
        <f>HLOOKUP(B38,'RTN-2.2'!$A$5:$AC$164,15,0)</f>
        <v>49144.426899000006</v>
      </c>
      <c r="AS38" s="176">
        <f>HLOOKUP(B38,'RTN-2.2-A'!$A$5:$AC$164,15,0)*100</f>
        <v>1.264703085352137</v>
      </c>
      <c r="AT38" s="83">
        <f>HLOOKUP(B38,'RTN-2.2'!$A$5:$AC$164,16,0)</f>
        <v>25169.452321000001</v>
      </c>
      <c r="AU38" s="176">
        <f>HLOOKUP(B38,'RTN-2.2-A'!$A$5:$AC$164,16,0)*100</f>
        <v>0.64772113575384727</v>
      </c>
      <c r="AV38" s="84">
        <f>HLOOKUP(B38,'RTN-2.2'!$A$5:$AC$164,13,0)</f>
        <v>84874.314046000029</v>
      </c>
      <c r="AW38" s="176">
        <f>HLOOKUP(B38,'RTN-2.2-A'!$A$5:$AC$164,13,0)*100</f>
        <v>2.1841908353459023</v>
      </c>
      <c r="AX38" s="83"/>
      <c r="AY38" s="84"/>
      <c r="AZ38" s="85">
        <f>HLOOKUP(B38,'RTN-2.2'!$A$5:$AC$164,59,0)</f>
        <v>707269.91150293278</v>
      </c>
      <c r="BA38" s="86">
        <f>HLOOKUP(B38,'RTN-2.2-A'!$A$5:$AC$164,59,0)*100</f>
        <v>18.201177543342013</v>
      </c>
      <c r="BB38" s="85"/>
      <c r="BC38" s="86"/>
      <c r="BD38" s="85"/>
      <c r="BE38" s="86"/>
      <c r="BF38" s="86"/>
      <c r="BG38" s="86"/>
      <c r="BH38" s="85"/>
      <c r="BI38" s="86"/>
      <c r="BJ38" s="86"/>
      <c r="BK38" s="86"/>
      <c r="BL38" s="85">
        <f>HLOOKUP(B38,'RTN-2.2'!$A$5:$AC$164,159,0)*(-1)</f>
        <v>124508.74253006998</v>
      </c>
      <c r="BM38" s="86">
        <f>HLOOKUP(B38,'RTN-2.2-A'!$A$5:$AC$164,159,0)*100*(-1)</f>
        <v>3.204159673175444</v>
      </c>
      <c r="BN38" s="87">
        <f>HLOOKUP(B38,'RTN-2.2'!$A$5:$AC$164,151,0)</f>
        <v>77891.168941549375</v>
      </c>
      <c r="BO38" s="87">
        <f>HLOOKUP(B38,'RTN-2.2-A'!$A$5:$AC$164,151,0)*100</f>
        <v>2.0044836800012926</v>
      </c>
      <c r="BP38" s="87"/>
      <c r="BQ38" s="87"/>
      <c r="BR38" s="93">
        <f>'BCB-DBGG-anual'!B6</f>
        <v>2011521.6620492102</v>
      </c>
      <c r="BS38" s="93">
        <f>'BCB-DBGG-anual'!C6</f>
        <v>51.765333584509897</v>
      </c>
    </row>
    <row r="39" spans="2:73">
      <c r="B39" s="30">
        <v>2011</v>
      </c>
      <c r="C39" s="79">
        <v>4376381.9998537563</v>
      </c>
      <c r="D39" s="79"/>
      <c r="E39" s="79"/>
      <c r="F39" s="80"/>
      <c r="G39" s="79">
        <v>3.9744230818544946</v>
      </c>
      <c r="H39" s="196">
        <v>901927.00000761182</v>
      </c>
      <c r="I39" s="79">
        <f t="shared" si="1"/>
        <v>20.608964209197257</v>
      </c>
      <c r="J39" s="196">
        <v>2637813.9992406918</v>
      </c>
      <c r="K39" s="79">
        <f t="shared" si="2"/>
        <v>60.273851764513211</v>
      </c>
      <c r="L39" s="196">
        <v>540565.99989072501</v>
      </c>
      <c r="M39" s="79">
        <f t="shared" si="3"/>
        <v>12.351892497245187</v>
      </c>
      <c r="N39" s="196">
        <v>506895.00002614118</v>
      </c>
      <c r="O39" s="80">
        <f t="shared" si="4"/>
        <v>11.582512679265198</v>
      </c>
      <c r="P39" s="81">
        <v>6.5033527436801677</v>
      </c>
      <c r="Q39" s="81">
        <v>11</v>
      </c>
      <c r="R39" s="81">
        <v>25.783678260898736</v>
      </c>
      <c r="S39" s="81">
        <v>10.220000000000001</v>
      </c>
      <c r="T39" s="81">
        <v>1.8611899999999999</v>
      </c>
      <c r="U39" s="198">
        <v>2614482</v>
      </c>
      <c r="V39" s="198">
        <v>-83576.20598436502</v>
      </c>
      <c r="W39" s="82">
        <f t="shared" si="5"/>
        <v>-3.1966640422219403</v>
      </c>
      <c r="X39" s="197">
        <v>255.79475067999999</v>
      </c>
      <c r="Y39" s="199">
        <f t="shared" si="6"/>
        <v>9.7837640756371618E-3</v>
      </c>
      <c r="Z39" s="197">
        <v>-88988.772857295</v>
      </c>
      <c r="AA39" s="82">
        <f t="shared" si="7"/>
        <v>-3.4036865756694823</v>
      </c>
      <c r="AB39" s="197">
        <v>-5668.3616236099806</v>
      </c>
      <c r="AC39" s="82">
        <f t="shared" si="8"/>
        <v>-0.21680629752317979</v>
      </c>
      <c r="AD39" s="197">
        <v>352012</v>
      </c>
      <c r="AE39" s="82">
        <f t="shared" si="0"/>
        <v>13.463928992435212</v>
      </c>
      <c r="AF39" s="82"/>
      <c r="AG39" s="82"/>
      <c r="AH39" s="197">
        <v>102427.22823142001</v>
      </c>
      <c r="AI39" s="82">
        <f t="shared" si="9"/>
        <v>3.9176872600928219</v>
      </c>
      <c r="AJ39" s="83">
        <f>HLOOKUP(B39,'RTN-2.2'!$A$5:$AC$164,2,0)</f>
        <v>988270.07665692002</v>
      </c>
      <c r="AK39" s="176">
        <f>HLOOKUP(B39,'RTN-2.2-A'!$A$5:$AC$164,2,0)*100</f>
        <v>22.581897025669711</v>
      </c>
      <c r="AL39" s="84"/>
      <c r="AM39" s="84"/>
      <c r="AN39" s="84">
        <f>HLOOKUP(B39,'RTN-2.2'!$A$5:$AC$164,3,0)</f>
        <v>628894.93289578997</v>
      </c>
      <c r="AO39" s="176">
        <f>HLOOKUP(B39,'RTN-2.2-A'!$A$5:$AC$164,3,0)*100</f>
        <v>14.370201982295089</v>
      </c>
      <c r="AP39" s="84"/>
      <c r="AQ39" s="84"/>
      <c r="AR39" s="83">
        <f>HLOOKUP(B39,'RTN-2.2'!$A$5:$AC$164,15,0)</f>
        <v>58400.376387999997</v>
      </c>
      <c r="AS39" s="176">
        <f>HLOOKUP(B39,'RTN-2.2-A'!$A$5:$AC$164,15,0)*100</f>
        <v>1.3344442141922606</v>
      </c>
      <c r="AT39" s="83">
        <f>HLOOKUP(B39,'RTN-2.2'!$A$5:$AC$164,16,0)</f>
        <v>35543.231208000005</v>
      </c>
      <c r="AU39" s="176">
        <f>HLOOKUP(B39,'RTN-2.2-A'!$A$5:$AC$164,16,0)*100</f>
        <v>0.81216016355948228</v>
      </c>
      <c r="AV39" s="84">
        <f>HLOOKUP(B39,'RTN-2.2'!$A$5:$AC$164,13,0)</f>
        <v>98706.499095269974</v>
      </c>
      <c r="AW39" s="176">
        <f>HLOOKUP(B39,'RTN-2.2-A'!$A$5:$AC$164,13,0)*100</f>
        <v>2.2554360907838578</v>
      </c>
      <c r="AX39" s="83"/>
      <c r="AY39" s="84"/>
      <c r="AZ39" s="85">
        <f>HLOOKUP(B39,'RTN-2.2'!$A$5:$AC$164,59,0)</f>
        <v>733343.37671926571</v>
      </c>
      <c r="BA39" s="86">
        <f>HLOOKUP(B39,'RTN-2.2-A'!$A$5:$AC$164,59,0)*100</f>
        <v>16.756841078858553</v>
      </c>
      <c r="BB39" s="85"/>
      <c r="BC39" s="86"/>
      <c r="BD39" s="85"/>
      <c r="BE39" s="86"/>
      <c r="BF39" s="86"/>
      <c r="BG39" s="86"/>
      <c r="BH39" s="85"/>
      <c r="BI39" s="86"/>
      <c r="BJ39" s="86"/>
      <c r="BK39" s="86"/>
      <c r="BL39" s="85">
        <f>HLOOKUP(B39,'RTN-2.2'!$A$5:$AC$164,159,0)*(-1)</f>
        <v>180553.06946837</v>
      </c>
      <c r="BM39" s="86">
        <f>HLOOKUP(B39,'RTN-2.2-A'!$A$5:$AC$164,159,0)*100*(-1)</f>
        <v>4.1256240765637795</v>
      </c>
      <c r="BN39" s="87">
        <f>HLOOKUP(B39,'RTN-2.2'!$A$5:$AC$164,151,0)</f>
        <v>91891.030860780302</v>
      </c>
      <c r="BO39" s="87">
        <f>HLOOKUP(B39,'RTN-2.2-A'!$A$5:$AC$164,151,0)*100</f>
        <v>2.0997031535147292</v>
      </c>
      <c r="BP39" s="87"/>
      <c r="BQ39" s="87"/>
      <c r="BR39" s="93">
        <f>'BCB-DBGG-anual'!B7</f>
        <v>2243603.7151232501</v>
      </c>
      <c r="BS39" s="93">
        <f>'BCB-DBGG-anual'!C7</f>
        <v>51.266176380357606</v>
      </c>
    </row>
    <row r="40" spans="2:73">
      <c r="B40" s="30">
        <v>2012</v>
      </c>
      <c r="C40" s="79">
        <v>4814759.9996344894</v>
      </c>
      <c r="D40" s="79"/>
      <c r="E40" s="79"/>
      <c r="F40" s="80"/>
      <c r="G40" s="79">
        <v>1.9211759784276472</v>
      </c>
      <c r="H40" s="196">
        <v>997459.99974143354</v>
      </c>
      <c r="I40" s="79">
        <f t="shared" si="1"/>
        <v>20.716712771086314</v>
      </c>
      <c r="J40" s="196">
        <v>2956833.9993430423</v>
      </c>
      <c r="K40" s="79">
        <f t="shared" si="2"/>
        <v>61.41186683380915</v>
      </c>
      <c r="L40" s="196">
        <v>637316.99987240799</v>
      </c>
      <c r="M40" s="79">
        <f t="shared" si="3"/>
        <v>13.236734539640391</v>
      </c>
      <c r="N40" s="196">
        <v>571875.00011662254</v>
      </c>
      <c r="O40" s="80">
        <f t="shared" si="4"/>
        <v>11.877539070691711</v>
      </c>
      <c r="P40" s="81">
        <v>5.8385947181474478</v>
      </c>
      <c r="Q40" s="81">
        <v>7.25</v>
      </c>
      <c r="R40" s="81">
        <v>20.412703266704945</v>
      </c>
      <c r="S40" s="81">
        <v>6.64</v>
      </c>
      <c r="T40" s="81">
        <v>2.06738</v>
      </c>
      <c r="U40" s="198">
        <v>2463549</v>
      </c>
      <c r="V40" s="198">
        <v>-92678.171336369982</v>
      </c>
      <c r="W40" s="82">
        <f t="shared" si="5"/>
        <v>-3.7619779974488017</v>
      </c>
      <c r="X40" s="197">
        <v>207.91430088999996</v>
      </c>
      <c r="Y40" s="199">
        <f t="shared" si="6"/>
        <v>8.4396251460799026E-3</v>
      </c>
      <c r="Z40" s="197">
        <v>-93929.695159509996</v>
      </c>
      <c r="AA40" s="82">
        <f t="shared" si="7"/>
        <v>-3.8127796589193066</v>
      </c>
      <c r="AB40" s="197">
        <v>-1459.4381240300147</v>
      </c>
      <c r="AC40" s="82">
        <f t="shared" si="8"/>
        <v>-5.9241286616585051E-2</v>
      </c>
      <c r="AD40" s="197">
        <v>373147</v>
      </c>
      <c r="AE40" s="82">
        <f t="shared" si="0"/>
        <v>15.146725313764817</v>
      </c>
      <c r="AF40" s="82"/>
      <c r="AG40" s="82"/>
      <c r="AH40" s="197">
        <v>92568.388321339982</v>
      </c>
      <c r="AI40" s="82">
        <f t="shared" si="9"/>
        <v>3.757521702281545</v>
      </c>
      <c r="AJ40" s="83">
        <f>HLOOKUP(B40,'RTN-2.2'!$A$5:$AC$164,2,0)</f>
        <v>1072289.4194307346</v>
      </c>
      <c r="AK40" s="176">
        <f>HLOOKUP(B40,'RTN-2.2-A'!$A$5:$AC$164,2,0)*100</f>
        <v>22.270879950654603</v>
      </c>
      <c r="AL40" s="84"/>
      <c r="AM40" s="84"/>
      <c r="AN40" s="84">
        <f>HLOOKUP(B40,'RTN-2.2'!$A$5:$AC$164,3,0)</f>
        <v>647535.05609336996</v>
      </c>
      <c r="AO40" s="176">
        <f>HLOOKUP(B40,'RTN-2.2-A'!$A$5:$AC$164,3,0)*100</f>
        <v>13.448958123406518</v>
      </c>
      <c r="AP40" s="84"/>
      <c r="AQ40" s="84"/>
      <c r="AR40" s="83">
        <f>HLOOKUP(B40,'RTN-2.2'!$A$5:$AC$164,15,0)</f>
        <v>63933.979728629994</v>
      </c>
      <c r="AS40" s="176">
        <f>HLOOKUP(B40,'RTN-2.2-A'!$A$5:$AC$164,15,0)*100</f>
        <v>1.3278746964227408</v>
      </c>
      <c r="AT40" s="83">
        <f>HLOOKUP(B40,'RTN-2.2'!$A$5:$AC$164,16,0)</f>
        <v>33853.764101689987</v>
      </c>
      <c r="AU40" s="176">
        <f>HLOOKUP(B40,'RTN-2.2-A'!$A$5:$AC$164,16,0)*100</f>
        <v>0.70312464389211504</v>
      </c>
      <c r="AV40" s="84">
        <f>HLOOKUP(B40,'RTN-2.2'!$A$5:$AC$164,13,0)</f>
        <v>101104.32182590001</v>
      </c>
      <c r="AW40" s="176">
        <f>HLOOKUP(B40,'RTN-2.2-A'!$A$5:$AC$164,13,0)*100</f>
        <v>2.0998828982872535</v>
      </c>
      <c r="AX40" s="83"/>
      <c r="AY40" s="84"/>
      <c r="AZ40" s="85">
        <f>HLOOKUP(B40,'RTN-2.2'!$A$5:$AC$164,59,0)</f>
        <v>815907.01534807752</v>
      </c>
      <c r="BA40" s="86">
        <f>HLOOKUP(B40,'RTN-2.2-A'!$A$5:$AC$164,59,0)*100</f>
        <v>16.945954012453733</v>
      </c>
      <c r="BB40" s="85"/>
      <c r="BC40" s="86"/>
      <c r="BD40" s="85"/>
      <c r="BE40" s="86"/>
      <c r="BF40" s="86"/>
      <c r="BG40" s="86"/>
      <c r="BH40" s="85"/>
      <c r="BI40" s="86"/>
      <c r="BJ40" s="86"/>
      <c r="BK40" s="86"/>
      <c r="BL40" s="85">
        <f>HLOOKUP(B40,'RTN-2.2'!$A$5:$AC$164,159,0)*(-1)</f>
        <v>147267.63260292</v>
      </c>
      <c r="BM40" s="86">
        <f>HLOOKUP(B40,'RTN-2.2-A'!$A$5:$AC$164,159,0)*100*(-1)</f>
        <v>3.058670268385129</v>
      </c>
      <c r="BN40" s="87">
        <f>HLOOKUP(B40,'RTN-2.2'!$A$5:$AC$164,151,0)</f>
        <v>84987.966247999459</v>
      </c>
      <c r="BO40" s="87">
        <f>HLOOKUP(B40,'RTN-2.2-A'!$A$5:$AC$164,151,0)*100</f>
        <v>1.7651547793545541</v>
      </c>
      <c r="BP40" s="87"/>
      <c r="BQ40" s="87"/>
      <c r="BR40" s="93">
        <f>'BCB-DBGG-anual'!B8</f>
        <v>2583946.3544326099</v>
      </c>
      <c r="BS40" s="93">
        <f>'BCB-DBGG-anual'!C8</f>
        <v>53.667189114904346</v>
      </c>
    </row>
    <row r="41" spans="2:73">
      <c r="B41" s="30">
        <v>2013</v>
      </c>
      <c r="C41" s="79">
        <v>5331618.9996270854</v>
      </c>
      <c r="D41" s="79"/>
      <c r="E41" s="79"/>
      <c r="F41" s="80"/>
      <c r="G41" s="79">
        <v>3.0048226753653262</v>
      </c>
      <c r="H41" s="196">
        <v>1114943.9996934619</v>
      </c>
      <c r="I41" s="79">
        <f t="shared" si="1"/>
        <v>20.911921871601209</v>
      </c>
      <c r="J41" s="196">
        <v>3290421.9991492317</v>
      </c>
      <c r="K41" s="79">
        <f t="shared" si="2"/>
        <v>61.715250084062212</v>
      </c>
      <c r="L41" s="196">
        <v>748758.00000197242</v>
      </c>
      <c r="M41" s="79">
        <f t="shared" si="3"/>
        <v>14.043726681414098</v>
      </c>
      <c r="N41" s="196">
        <v>626051.0001411509</v>
      </c>
      <c r="O41" s="80">
        <f t="shared" si="4"/>
        <v>11.742230646731123</v>
      </c>
      <c r="P41" s="81">
        <v>5.9106832553310795</v>
      </c>
      <c r="Q41" s="81">
        <v>10</v>
      </c>
      <c r="R41" s="81">
        <v>21.84319100326071</v>
      </c>
      <c r="S41" s="81">
        <v>9.19</v>
      </c>
      <c r="T41" s="81">
        <v>2.3499699999999999</v>
      </c>
      <c r="U41" s="198">
        <v>2468456</v>
      </c>
      <c r="V41" s="198">
        <v>-88384.030093090041</v>
      </c>
      <c r="W41" s="82">
        <f t="shared" si="5"/>
        <v>-3.5805390127711432</v>
      </c>
      <c r="X41" s="197">
        <v>322.25373797999998</v>
      </c>
      <c r="Y41" s="199">
        <f t="shared" si="6"/>
        <v>1.3054870655178782E-2</v>
      </c>
      <c r="Z41" s="197">
        <v>-89601.938961310021</v>
      </c>
      <c r="AA41" s="82">
        <f t="shared" si="7"/>
        <v>-3.6298779059181134</v>
      </c>
      <c r="AB41" s="197">
        <v>-1540.1626061999789</v>
      </c>
      <c r="AC41" s="82">
        <f t="shared" si="8"/>
        <v>-6.2393763802149151E-2</v>
      </c>
      <c r="AD41" s="197">
        <v>358808</v>
      </c>
      <c r="AE41" s="82">
        <f t="shared" si="0"/>
        <v>14.535725976075733</v>
      </c>
      <c r="AF41" s="82"/>
      <c r="AG41" s="82"/>
      <c r="AH41" s="197">
        <v>75211.029129400005</v>
      </c>
      <c r="AI41" s="82">
        <f t="shared" si="9"/>
        <v>3.04688554826985</v>
      </c>
      <c r="AJ41" s="83">
        <f>HLOOKUP(B41,'RTN-2.2'!$A$5:$AC$164,2,0)</f>
        <v>1178983.23858507</v>
      </c>
      <c r="AK41" s="176">
        <f>HLOOKUP(B41,'RTN-2.2-A'!$A$5:$AC$164,2,0)*100</f>
        <v>22.113043686496226</v>
      </c>
      <c r="AL41" s="84"/>
      <c r="AM41" s="84"/>
      <c r="AN41" s="84">
        <f>HLOOKUP(B41,'RTN-2.2'!$A$5:$AC$164,3,0)</f>
        <v>720193.36768919998</v>
      </c>
      <c r="AO41" s="176">
        <f>HLOOKUP(B41,'RTN-2.2-A'!$A$5:$AC$164,3,0)*100</f>
        <v>13.507967612456431</v>
      </c>
      <c r="AP41" s="84"/>
      <c r="AQ41" s="84"/>
      <c r="AR41" s="83">
        <f>HLOOKUP(B41,'RTN-2.2'!$A$5:$AC$164,15,0)</f>
        <v>66881.969733460006</v>
      </c>
      <c r="AS41" s="176">
        <f>HLOOKUP(B41,'RTN-2.2-A'!$A$5:$AC$164,15,0)*100</f>
        <v>1.2544401566979564</v>
      </c>
      <c r="AT41" s="83">
        <f>HLOOKUP(B41,'RTN-2.2'!$A$5:$AC$164,16,0)</f>
        <v>37035.330692250005</v>
      </c>
      <c r="AU41" s="176">
        <f>HLOOKUP(B41,'RTN-2.2-A'!$A$5:$AC$164,16,0)*100</f>
        <v>0.69463573250152377</v>
      </c>
      <c r="AV41" s="84">
        <f>HLOOKUP(B41,'RTN-2.2'!$A$5:$AC$164,13,0)</f>
        <v>114143.60963950997</v>
      </c>
      <c r="AW41" s="176">
        <f>HLOOKUP(B41,'RTN-2.2-A'!$A$5:$AC$164,13,0)*100</f>
        <v>2.1408808402756025</v>
      </c>
      <c r="AX41" s="83"/>
      <c r="AY41" s="84"/>
      <c r="AZ41" s="85">
        <f>HLOOKUP(B41,'RTN-2.2'!$A$5:$AC$164,59,0)</f>
        <v>924929.13275014597</v>
      </c>
      <c r="BA41" s="86">
        <f>HLOOKUP(B41,'RTN-2.2-A'!$A$5:$AC$164,59,0)*100</f>
        <v>17.347997537236619</v>
      </c>
      <c r="BB41" s="85"/>
      <c r="BC41" s="86"/>
      <c r="BD41" s="85"/>
      <c r="BE41" s="86"/>
      <c r="BF41" s="86"/>
      <c r="BG41" s="86"/>
      <c r="BH41" s="85"/>
      <c r="BI41" s="86"/>
      <c r="BJ41" s="86"/>
      <c r="BK41" s="86"/>
      <c r="BL41" s="85">
        <f>HLOOKUP(B41,'RTN-2.2'!$A$5:$AC$164,159,0)*(-1)</f>
        <v>185845.65065011999</v>
      </c>
      <c r="BM41" s="86">
        <f>HLOOKUP(B41,'RTN-2.2-A'!$A$5:$AC$164,159,0)*100*(-1)</f>
        <v>3.4857263931109639</v>
      </c>
      <c r="BN41" s="87">
        <f>HLOOKUP(B41,'RTN-2.2'!$A$5:$AC$164,151,0)</f>
        <v>72159.144911743118</v>
      </c>
      <c r="BO41" s="87">
        <f>HLOOKUP(B41,'RTN-2.2-A'!$A$5:$AC$164,151,0)*100</f>
        <v>1.353419006811819</v>
      </c>
      <c r="BP41" s="87"/>
      <c r="BQ41" s="87"/>
      <c r="BR41" s="93">
        <f>'BCB-DBGG-anual'!B9</f>
        <v>2747996.7055274099</v>
      </c>
      <c r="BS41" s="93">
        <f>'BCB-DBGG-anual'!C9</f>
        <v>51.541505604950643</v>
      </c>
    </row>
    <row r="42" spans="2:73">
      <c r="B42" s="30">
        <v>2014</v>
      </c>
      <c r="C42" s="79">
        <v>5778953.0000085933</v>
      </c>
      <c r="D42" s="79"/>
      <c r="E42" s="79"/>
      <c r="F42" s="80"/>
      <c r="G42" s="79">
        <v>0.50395574468804494</v>
      </c>
      <c r="H42" s="196">
        <v>1148453.0000854242</v>
      </c>
      <c r="I42" s="79">
        <f t="shared" si="1"/>
        <v>19.87302890478113</v>
      </c>
      <c r="J42" s="196">
        <v>3638404.0002770349</v>
      </c>
      <c r="K42" s="79">
        <f t="shared" si="2"/>
        <v>62.959570708943723</v>
      </c>
      <c r="L42" s="196">
        <v>790182.99991852965</v>
      </c>
      <c r="M42" s="79">
        <f t="shared" si="3"/>
        <v>13.673462994375532</v>
      </c>
      <c r="N42" s="196">
        <v>636374.99989300768</v>
      </c>
      <c r="O42" s="80">
        <f t="shared" si="4"/>
        <v>11.01194281891653</v>
      </c>
      <c r="P42" s="81">
        <v>6.4074707959081536</v>
      </c>
      <c r="Q42" s="81">
        <v>11.75</v>
      </c>
      <c r="R42" s="81">
        <v>23.434708058214483</v>
      </c>
      <c r="S42" s="81">
        <v>10.64</v>
      </c>
      <c r="T42" s="81">
        <v>2.6726100000000002</v>
      </c>
      <c r="U42" s="198">
        <v>2454846</v>
      </c>
      <c r="V42" s="198">
        <v>-110493.24134985497</v>
      </c>
      <c r="W42" s="82">
        <f t="shared" si="5"/>
        <v>-4.5010253738871997</v>
      </c>
      <c r="X42" s="197">
        <v>231.4785574</v>
      </c>
      <c r="Y42" s="199">
        <f t="shared" si="6"/>
        <v>9.4294533099021291E-3</v>
      </c>
      <c r="Z42" s="197">
        <v>-108932.08571338499</v>
      </c>
      <c r="AA42" s="82">
        <f t="shared" si="7"/>
        <v>-4.4374305236819334</v>
      </c>
      <c r="AB42" s="197">
        <v>1329.6770790699754</v>
      </c>
      <c r="AC42" s="82">
        <f t="shared" si="8"/>
        <v>5.4165396895364322E-2</v>
      </c>
      <c r="AD42" s="197">
        <v>363551</v>
      </c>
      <c r="AE42" s="82">
        <f t="shared" si="0"/>
        <v>14.809523693135946</v>
      </c>
      <c r="AF42" s="82"/>
      <c r="AG42" s="82"/>
      <c r="AH42" s="197">
        <v>87713.983217240006</v>
      </c>
      <c r="AI42" s="82">
        <f t="shared" si="9"/>
        <v>3.5730951439414129</v>
      </c>
      <c r="AJ42" s="83">
        <f>HLOOKUP(B42,'RTN-2.2'!$A$5:$AC$164,2,0)</f>
        <v>1221474.1323409199</v>
      </c>
      <c r="AK42" s="176">
        <f>HLOOKUP(B42,'RTN-2.2-A'!$A$5:$AC$164,2,0)*100</f>
        <v>21.136599178763067</v>
      </c>
      <c r="AL42" s="84"/>
      <c r="AM42" s="84"/>
      <c r="AN42" s="84">
        <f>HLOOKUP(B42,'RTN-2.2'!$A$5:$AC$164,3,0)</f>
        <v>739178.00485036022</v>
      </c>
      <c r="AO42" s="176">
        <f>HLOOKUP(B42,'RTN-2.2-A'!$A$5:$AC$164,3,0)*100</f>
        <v>12.790863757660965</v>
      </c>
      <c r="AP42" s="84"/>
      <c r="AQ42" s="84"/>
      <c r="AR42" s="83">
        <f>HLOOKUP(B42,'RTN-2.2'!$A$5:$AC$164,15,0)</f>
        <v>73934.248562519992</v>
      </c>
      <c r="AS42" s="176">
        <f>HLOOKUP(B42,'RTN-2.2-A'!$A$5:$AC$164,15,0)*100</f>
        <v>1.2793709961373636</v>
      </c>
      <c r="AT42" s="83">
        <f>HLOOKUP(B42,'RTN-2.2'!$A$5:$AC$164,16,0)</f>
        <v>41210.96562191</v>
      </c>
      <c r="AU42" s="176">
        <f>HLOOKUP(B42,'RTN-2.2-A'!$A$5:$AC$164,16,0)*100</f>
        <v>0.71312166099722074</v>
      </c>
      <c r="AV42" s="84">
        <f>HLOOKUP(B42,'RTN-2.2'!$A$5:$AC$164,13,0)</f>
        <v>112708.99933389001</v>
      </c>
      <c r="AW42" s="176">
        <f>HLOOKUP(B42,'RTN-2.2-A'!$A$5:$AC$164,13,0)*100</f>
        <v>1.9503359749373703</v>
      </c>
      <c r="AX42" s="83"/>
      <c r="AY42" s="84"/>
      <c r="AZ42" s="85">
        <f>HLOOKUP(B42,'RTN-2.2'!$A$5:$AC$164,59,0)</f>
        <v>1046495.03558552</v>
      </c>
      <c r="BA42" s="86">
        <f>HLOOKUP(B42,'RTN-2.2-A'!$A$5:$AC$164,59,0)*100</f>
        <v>18.108730691943052</v>
      </c>
      <c r="BB42" s="85"/>
      <c r="BC42" s="86"/>
      <c r="BD42" s="85"/>
      <c r="BE42" s="86"/>
      <c r="BF42" s="86"/>
      <c r="BG42" s="86"/>
      <c r="BH42" s="85"/>
      <c r="BI42" s="86"/>
      <c r="BJ42" s="86"/>
      <c r="BK42" s="86"/>
      <c r="BL42" s="85">
        <f>HLOOKUP(B42,'RTN-2.2'!$A$5:$AC$164,159,0)*(-1)</f>
        <v>251070.21532889004</v>
      </c>
      <c r="BM42" s="86">
        <f>HLOOKUP(B42,'RTN-2.2-A'!$A$5:$AC$164,159,0)*100*(-1)</f>
        <v>4.3445623338434611</v>
      </c>
      <c r="BN42" s="87">
        <f>HLOOKUP(B42,'RTN-2.2'!$A$5:$AC$164,151,0)</f>
        <v>-23482.40341254037</v>
      </c>
      <c r="BO42" s="87">
        <f>HLOOKUP(B42,'RTN-2.2-A'!$A$5:$AC$164,151,0)*100</f>
        <v>-0.40634356106556757</v>
      </c>
      <c r="BP42" s="87"/>
      <c r="BQ42" s="87"/>
      <c r="BR42" s="93">
        <f>'BCB-DBGG-anual'!B10</f>
        <v>3252448.5492518502</v>
      </c>
      <c r="BS42" s="93">
        <f>'BCB-DBGG-anual'!C10</f>
        <v>56.28093097914131</v>
      </c>
    </row>
    <row r="43" spans="2:73">
      <c r="B43" s="30">
        <v>2015</v>
      </c>
      <c r="C43" s="79">
        <v>5995786.9997263048</v>
      </c>
      <c r="D43" s="79"/>
      <c r="E43" s="79"/>
      <c r="F43" s="80"/>
      <c r="G43" s="79">
        <v>-3.5457633973564384</v>
      </c>
      <c r="H43" s="196">
        <v>1069397.0003677816</v>
      </c>
      <c r="I43" s="79">
        <f t="shared" si="1"/>
        <v>17.835807049459852</v>
      </c>
      <c r="J43" s="196">
        <v>3835192.9995374293</v>
      </c>
      <c r="K43" s="79">
        <f t="shared" si="2"/>
        <v>63.964797277029653</v>
      </c>
      <c r="L43" s="196">
        <v>842613.99988057057</v>
      </c>
      <c r="M43" s="79">
        <f t="shared" si="3"/>
        <v>14.05343451858837</v>
      </c>
      <c r="N43" s="196">
        <v>773468.00001913682</v>
      </c>
      <c r="O43" s="80">
        <f t="shared" si="4"/>
        <v>12.900191418648529</v>
      </c>
      <c r="P43" s="81">
        <v>10.673028133975066</v>
      </c>
      <c r="Q43" s="81">
        <v>14.25</v>
      </c>
      <c r="R43" s="81">
        <v>29.384043803414283</v>
      </c>
      <c r="S43" s="81">
        <v>13.17</v>
      </c>
      <c r="T43" s="81">
        <v>3.9252200000000004</v>
      </c>
      <c r="U43" s="198">
        <v>1796168</v>
      </c>
      <c r="V43" s="198">
        <v>-63408.884124214994</v>
      </c>
      <c r="W43" s="82">
        <f t="shared" si="5"/>
        <v>-3.5302312547721031</v>
      </c>
      <c r="X43" s="197">
        <v>461.15785617000006</v>
      </c>
      <c r="Y43" s="199">
        <f t="shared" si="6"/>
        <v>2.567453913943462E-2</v>
      </c>
      <c r="Z43" s="197">
        <v>-65429.524745745002</v>
      </c>
      <c r="AA43" s="82">
        <f t="shared" si="7"/>
        <v>-3.6427285613453195</v>
      </c>
      <c r="AB43" s="197">
        <v>-2481.7984777000015</v>
      </c>
      <c r="AC43" s="82">
        <f t="shared" si="8"/>
        <v>-0.13817184571265059</v>
      </c>
      <c r="AD43" s="197">
        <v>356464</v>
      </c>
      <c r="AE43" s="82">
        <f t="shared" si="0"/>
        <v>19.845805069458983</v>
      </c>
      <c r="AF43" s="82"/>
      <c r="AG43" s="82"/>
      <c r="AH43" s="197">
        <v>64738.153494439997</v>
      </c>
      <c r="AI43" s="82">
        <f t="shared" si="9"/>
        <v>3.60423710334668</v>
      </c>
      <c r="AJ43" s="83">
        <f>HLOOKUP(B43,'RTN-2.2'!$A$5:$AC$164,2,0)</f>
        <v>1249103.6862140601</v>
      </c>
      <c r="AK43" s="176">
        <f>HLOOKUP(B43,'RTN-2.2-A'!$A$5:$AC$164,2,0)*100</f>
        <v>20.833023025519072</v>
      </c>
      <c r="AL43" s="84"/>
      <c r="AM43" s="84"/>
      <c r="AN43" s="84">
        <f>HLOOKUP(B43,'RTN-2.2'!$A$5:$AC$164,3,0)</f>
        <v>765137.17981457012</v>
      </c>
      <c r="AO43" s="176">
        <f>HLOOKUP(B43,'RTN-2.2-A'!$A$5:$AC$164,3,0)*100</f>
        <v>12.761246852990226</v>
      </c>
      <c r="AP43" s="84"/>
      <c r="AQ43" s="84"/>
      <c r="AR43" s="83">
        <f>HLOOKUP(B43,'RTN-2.2'!$A$5:$AC$164,15,0)</f>
        <v>75712.984249779998</v>
      </c>
      <c r="AS43" s="176">
        <f>HLOOKUP(B43,'RTN-2.2-A'!$A$5:$AC$164,15,0)*100</f>
        <v>1.2627697457103821</v>
      </c>
      <c r="AT43" s="83">
        <f>HLOOKUP(B43,'RTN-2.2'!$A$5:$AC$164,16,0)</f>
        <v>53648.380880849996</v>
      </c>
      <c r="AU43" s="176">
        <f>HLOOKUP(B43,'RTN-2.2-A'!$A$5:$AC$164,16,0)*100</f>
        <v>0.89476795762255967</v>
      </c>
      <c r="AV43" s="84">
        <f>HLOOKUP(B43,'RTN-2.2'!$A$5:$AC$164,13,0)</f>
        <v>107605.08721796999</v>
      </c>
      <c r="AW43" s="176">
        <f>HLOOKUP(B43,'RTN-2.2-A'!$A$5:$AC$164,13,0)*100</f>
        <v>1.7946782836495354</v>
      </c>
      <c r="AX43" s="83"/>
      <c r="AY43" s="84"/>
      <c r="AZ43" s="85">
        <f>HLOOKUP(B43,'RTN-2.2'!$A$5:$AC$164,59,0)</f>
        <v>1164921.6555464705</v>
      </c>
      <c r="BA43" s="86">
        <f>HLOOKUP(B43,'RTN-2.2-A'!$A$5:$AC$164,59,0)*100</f>
        <v>19.429003325162267</v>
      </c>
      <c r="BB43" s="85"/>
      <c r="BC43" s="86"/>
      <c r="BD43" s="85"/>
      <c r="BE43" s="86"/>
      <c r="BF43" s="86"/>
      <c r="BG43" s="86"/>
      <c r="BH43" s="85"/>
      <c r="BI43" s="86"/>
      <c r="BJ43" s="86"/>
      <c r="BK43" s="86"/>
      <c r="BL43" s="85">
        <f>HLOOKUP(B43,'RTN-2.2'!$A$5:$AC$164,159,0)*(-1)</f>
        <v>397240.4236946301</v>
      </c>
      <c r="BM43" s="86">
        <f>HLOOKUP(B43,'RTN-2.2-A'!$A$5:$AC$164,159,0)*100*(-1)</f>
        <v>6.6253258114866878</v>
      </c>
      <c r="BN43" s="87">
        <f>HLOOKUP(B43,'RTN-2.2'!$A$5:$AC$164,151,0)</f>
        <v>-120502.22652793161</v>
      </c>
      <c r="BO43" s="87">
        <f>HLOOKUP(B43,'RTN-2.2-A'!$A$5:$AC$164,151,0)*100</f>
        <v>-2.0097816439014977</v>
      </c>
      <c r="BP43" s="87"/>
      <c r="BQ43" s="87"/>
      <c r="BR43" s="93">
        <f>'BCB-DBGG-anual'!B11</f>
        <v>3927523.0628005499</v>
      </c>
      <c r="BS43" s="93">
        <f>'BCB-DBGG-anual'!C11</f>
        <v>65.504712942268227</v>
      </c>
    </row>
    <row r="44" spans="2:73">
      <c r="B44" s="30">
        <v>2016</v>
      </c>
      <c r="C44" s="79">
        <v>6269328.0006591799</v>
      </c>
      <c r="D44" s="79"/>
      <c r="E44" s="79"/>
      <c r="F44" s="80"/>
      <c r="G44" s="79">
        <v>-3.2759168900599711</v>
      </c>
      <c r="H44" s="196">
        <v>973270.99982403452</v>
      </c>
      <c r="I44" s="79">
        <f t="shared" si="1"/>
        <v>15.524327323784961</v>
      </c>
      <c r="J44" s="196">
        <v>4028136.0008875411</v>
      </c>
      <c r="K44" s="79">
        <f t="shared" si="2"/>
        <v>64.251479591816036</v>
      </c>
      <c r="L44" s="196">
        <v>756520.00006745337</v>
      </c>
      <c r="M44" s="79">
        <f t="shared" si="3"/>
        <v>12.067003034263164</v>
      </c>
      <c r="N44" s="196">
        <v>781576.99998335075</v>
      </c>
      <c r="O44" s="80">
        <f t="shared" si="4"/>
        <v>12.46667904281245</v>
      </c>
      <c r="P44" s="81">
        <v>6.2879882132213964</v>
      </c>
      <c r="Q44" s="81">
        <v>13.75</v>
      </c>
      <c r="R44" s="81">
        <v>31.836507493097276</v>
      </c>
      <c r="S44" s="81">
        <v>11.77</v>
      </c>
      <c r="T44" s="81">
        <v>3.3009199999999992</v>
      </c>
      <c r="U44" s="198">
        <v>1800134</v>
      </c>
      <c r="V44" s="198">
        <v>-30528.825466820006</v>
      </c>
      <c r="W44" s="82">
        <f t="shared" si="5"/>
        <v>-1.6959196074747773</v>
      </c>
      <c r="X44" s="197">
        <v>273.22121993000007</v>
      </c>
      <c r="Y44" s="199">
        <f t="shared" si="6"/>
        <v>1.5177826757896917E-2</v>
      </c>
      <c r="Z44" s="197">
        <v>-22191.680802709994</v>
      </c>
      <c r="AA44" s="82">
        <f t="shared" si="7"/>
        <v>-1.2327793821298856</v>
      </c>
      <c r="AB44" s="197">
        <v>8063.9234441800063</v>
      </c>
      <c r="AC44" s="82">
        <f t="shared" si="8"/>
        <v>0.44796239858699444</v>
      </c>
      <c r="AD44" s="197">
        <v>365016</v>
      </c>
      <c r="AE44" s="82">
        <f t="shared" si="0"/>
        <v>20.277157144968097</v>
      </c>
      <c r="AF44" s="82"/>
      <c r="AG44" s="82"/>
      <c r="AH44" s="197">
        <v>74294.627801190014</v>
      </c>
      <c r="AI44" s="82">
        <f t="shared" si="9"/>
        <v>4.1271720772559162</v>
      </c>
      <c r="AJ44" s="83">
        <f>HLOOKUP(B44,'RTN-2.2'!$A$5:$AC$164,2,0)</f>
        <v>1315985.2686316364</v>
      </c>
      <c r="AK44" s="176">
        <f>HLOOKUP(B44,'RTN-2.2-A'!$A$5:$AC$164,2,0)*100</f>
        <v>20.990850510505581</v>
      </c>
      <c r="AL44" s="84"/>
      <c r="AM44" s="84"/>
      <c r="AN44" s="84">
        <f>HLOOKUP(B44,'RTN-2.2'!$A$5:$AC$164,3,0)</f>
        <v>819751.85484766006</v>
      </c>
      <c r="AO44" s="176">
        <f>HLOOKUP(B44,'RTN-2.2-A'!$A$5:$AC$164,3,0)*100</f>
        <v>13.07559366428856</v>
      </c>
      <c r="AP44" s="84"/>
      <c r="AQ44" s="84"/>
      <c r="AR44" s="83">
        <f>HLOOKUP(B44,'RTN-2.2'!$A$5:$AC$164,15,0)</f>
        <v>82165.791371650004</v>
      </c>
      <c r="AS44" s="176">
        <f>HLOOKUP(B44,'RTN-2.2-A'!$A$5:$AC$164,15,0)*100</f>
        <v>1.3105996585760198</v>
      </c>
      <c r="AT44" s="83">
        <f>HLOOKUP(B44,'RTN-2.2'!$A$5:$AC$164,16,0)</f>
        <v>59403.681964659998</v>
      </c>
      <c r="AU44" s="176">
        <f>HLOOKUP(B44,'RTN-2.2-A'!$A$5:$AC$164,16,0)*100</f>
        <v>0.94752869778729232</v>
      </c>
      <c r="AV44" s="84">
        <f>HLOOKUP(B44,'RTN-2.2'!$A$5:$AC$164,13,0)</f>
        <v>133954.95882304004</v>
      </c>
      <c r="AW44" s="176">
        <f>HLOOKUP(B44,'RTN-2.2-A'!$A$5:$AC$164,13,0)*100</f>
        <v>2.1366717263629464</v>
      </c>
      <c r="AX44" s="83"/>
      <c r="AY44" s="84"/>
      <c r="AZ44" s="85">
        <f>HLOOKUP(B44,'RTN-2.2'!$A$5:$AC$164,59,0)</f>
        <v>1250425.582139611</v>
      </c>
      <c r="BA44" s="86">
        <f>HLOOKUP(B44,'RTN-2.2-A'!$A$5:$AC$164,59,0)*100</f>
        <v>19.945129398368326</v>
      </c>
      <c r="BB44" s="85"/>
      <c r="BC44" s="86"/>
      <c r="BD44" s="85"/>
      <c r="BE44" s="86"/>
      <c r="BF44" s="86"/>
      <c r="BG44" s="86"/>
      <c r="BH44" s="85"/>
      <c r="BI44" s="86"/>
      <c r="BJ44" s="86"/>
      <c r="BK44" s="86"/>
      <c r="BL44" s="85">
        <f>HLOOKUP(B44,'RTN-2.2'!$A$5:$AC$164,159,0)*(-1)</f>
        <v>318362.14190560998</v>
      </c>
      <c r="BM44" s="86">
        <f>HLOOKUP(B44,'RTN-2.2-A'!$A$5:$AC$164,159,0)*100*(-1)</f>
        <v>5.0780903770250383</v>
      </c>
      <c r="BN44" s="87">
        <f>HLOOKUP(B44,'RTN-2.2'!$A$5:$AC$164,151,0)</f>
        <v>-161275.62491593923</v>
      </c>
      <c r="BO44" s="87">
        <f>HLOOKUP(B44,'RTN-2.2-A'!$A$5:$AC$164,151,0)*100</f>
        <v>-2.5724547335692467</v>
      </c>
      <c r="BP44" s="87"/>
      <c r="BQ44" s="87"/>
      <c r="BR44" s="93">
        <f>'BCB-DBGG-anual'!B12</f>
        <v>4378486.3949722508</v>
      </c>
      <c r="BS44" s="93">
        <f>'BCB-DBGG-anual'!C12</f>
        <v>69.839804114761279</v>
      </c>
    </row>
    <row r="45" spans="2:73">
      <c r="B45" s="30">
        <v>2017</v>
      </c>
      <c r="C45" s="79">
        <v>6585479.0001397813</v>
      </c>
      <c r="D45" s="79"/>
      <c r="E45" s="79"/>
      <c r="F45" s="80"/>
      <c r="G45" s="79">
        <v>1.3228690438595869</v>
      </c>
      <c r="H45" s="196">
        <v>958778.9996738059</v>
      </c>
      <c r="I45" s="79">
        <f t="shared" si="1"/>
        <v>14.558986516447098</v>
      </c>
      <c r="J45" s="196">
        <v>4247259.0002195053</v>
      </c>
      <c r="K45" s="79">
        <f t="shared" si="2"/>
        <v>64.494306338678697</v>
      </c>
      <c r="L45" s="196">
        <v>777136.99995452329</v>
      </c>
      <c r="M45" s="79">
        <f t="shared" si="3"/>
        <v>11.800766503667054</v>
      </c>
      <c r="N45" s="196">
        <v>824434.00014611566</v>
      </c>
      <c r="O45" s="80">
        <f t="shared" si="4"/>
        <v>12.518967870501394</v>
      </c>
      <c r="P45" s="81">
        <v>2.9474213204346995</v>
      </c>
      <c r="Q45" s="81">
        <v>7</v>
      </c>
      <c r="R45" s="81">
        <v>25.487832818461076</v>
      </c>
      <c r="S45" s="81">
        <v>6.66</v>
      </c>
      <c r="T45" s="81">
        <v>3.3050000000000006</v>
      </c>
      <c r="U45" s="198">
        <v>2063185</v>
      </c>
      <c r="V45" s="198">
        <v>-25263.598550209997</v>
      </c>
      <c r="W45" s="82">
        <f t="shared" si="5"/>
        <v>-1.2244950671030468</v>
      </c>
      <c r="X45" s="197">
        <v>305.55970820999994</v>
      </c>
      <c r="Y45" s="199">
        <f t="shared" si="6"/>
        <v>1.4810097408133539E-2</v>
      </c>
      <c r="Z45" s="197">
        <v>-20406.385909210003</v>
      </c>
      <c r="AA45" s="82">
        <f t="shared" si="7"/>
        <v>-0.9890720371275481</v>
      </c>
      <c r="AB45" s="197">
        <v>4551.6529327899943</v>
      </c>
      <c r="AC45" s="82">
        <f t="shared" si="8"/>
        <v>0.22061293256736525</v>
      </c>
      <c r="AD45" s="197">
        <v>373972</v>
      </c>
      <c r="AE45" s="82">
        <f t="shared" si="0"/>
        <v>18.125955743183475</v>
      </c>
      <c r="AF45" s="82"/>
      <c r="AG45" s="82"/>
      <c r="AH45" s="197">
        <v>68885.49131523</v>
      </c>
      <c r="AI45" s="82">
        <f t="shared" si="9"/>
        <v>3.3387937250043014</v>
      </c>
      <c r="AJ45" s="83">
        <f>HLOOKUP(B45,'RTN-2.2'!$A$5:$AC$164,2,0)</f>
        <v>1383653.146881649</v>
      </c>
      <c r="AK45" s="176">
        <f>HLOOKUP(B45,'RTN-2.2-A'!$A$5:$AC$164,2,0)*100</f>
        <v>21.01066827260826</v>
      </c>
      <c r="AL45" s="84"/>
      <c r="AM45" s="84"/>
      <c r="AN45" s="84">
        <f>HLOOKUP(B45,'RTN-2.2'!$A$5:$AC$164,3,0)</f>
        <v>835563.53550946002</v>
      </c>
      <c r="AO45" s="176">
        <f>HLOOKUP(B45,'RTN-2.2-A'!$A$5:$AC$164,3,0)*100</f>
        <v>12.687969022325094</v>
      </c>
      <c r="AP45" s="84"/>
      <c r="AQ45" s="84"/>
      <c r="AR45" s="83">
        <f>HLOOKUP(B45,'RTN-2.2'!$A$5:$AC$164,15,0)</f>
        <v>91045.154897069995</v>
      </c>
      <c r="AS45" s="176">
        <f>HLOOKUP(B45,'RTN-2.2-A'!$A$5:$AC$164,15,0)*100</f>
        <v>1.3825137836615602</v>
      </c>
      <c r="AT45" s="83">
        <f>HLOOKUP(B45,'RTN-2.2'!$A$5:$AC$164,16,0)</f>
        <v>59469.811490070002</v>
      </c>
      <c r="AU45" s="176">
        <f>HLOOKUP(B45,'RTN-2.2-A'!$A$5:$AC$164,16,0)*100</f>
        <v>0.90304458474178873</v>
      </c>
      <c r="AV45" s="84">
        <f>HLOOKUP(B45,'RTN-2.2'!$A$5:$AC$164,13,0)</f>
        <v>118000.44175415003</v>
      </c>
      <c r="AW45" s="176">
        <f>HLOOKUP(B45,'RTN-2.2-A'!$A$5:$AC$164,13,0)*100</f>
        <v>1.791827773676681</v>
      </c>
      <c r="AX45" s="83"/>
      <c r="AY45" s="84"/>
      <c r="AZ45" s="85">
        <f>HLOOKUP(B45,'RTN-2.2'!$A$5:$AC$164,59,0)</f>
        <v>1279579.2922426511</v>
      </c>
      <c r="BA45" s="86">
        <f>HLOOKUP(B45,'RTN-2.2-A'!$A$5:$AC$164,59,0)*100</f>
        <v>19.430314669828739</v>
      </c>
      <c r="BB45" s="85"/>
      <c r="BC45" s="86"/>
      <c r="BD45" s="85"/>
      <c r="BE45" s="86"/>
      <c r="BF45" s="86"/>
      <c r="BG45" s="86"/>
      <c r="BH45" s="85"/>
      <c r="BI45" s="86"/>
      <c r="BJ45" s="86"/>
      <c r="BK45" s="86"/>
      <c r="BL45" s="85">
        <f>HLOOKUP(B45,'RTN-2.2'!$A$5:$AC$164,159,0)*(-1)</f>
        <v>340907.29406903998</v>
      </c>
      <c r="BM45" s="86">
        <f>HLOOKUP(B45,'RTN-2.2-A'!$A$5:$AC$164,159,0)*100*(-1)</f>
        <v>5.1766514487678705</v>
      </c>
      <c r="BN45" s="87">
        <f>HLOOKUP(B45,'RTN-2.2'!$A$5:$AC$164,151,0)</f>
        <v>-124261.48663466153</v>
      </c>
      <c r="BO45" s="87">
        <f>HLOOKUP(B45,'RTN-2.2-A'!$A$5:$AC$164,151,0)*100</f>
        <v>-1.8869012661345357</v>
      </c>
      <c r="BP45" s="87"/>
      <c r="BQ45" s="87"/>
      <c r="BR45" s="93">
        <f>'BCB-DBGG-anual'!B13</f>
        <v>4854678.5864731595</v>
      </c>
      <c r="BS45" s="93">
        <f>'BCB-DBGG-anual'!C13</f>
        <v>73.717926765389677</v>
      </c>
    </row>
    <row r="46" spans="2:73">
      <c r="B46" s="30">
        <v>2018</v>
      </c>
      <c r="C46" s="79">
        <v>7004140.9998933682</v>
      </c>
      <c r="D46" s="79"/>
      <c r="E46" s="79"/>
      <c r="F46" s="80"/>
      <c r="G46" s="79">
        <v>1.7836667578435605</v>
      </c>
      <c r="H46" s="196">
        <v>1057409.0000220025</v>
      </c>
      <c r="I46" s="79">
        <f t="shared" si="1"/>
        <v>15.096911955914374</v>
      </c>
      <c r="J46" s="196">
        <v>4525800.9995450582</v>
      </c>
      <c r="K46" s="79">
        <f t="shared" si="2"/>
        <v>64.616074970706038</v>
      </c>
      <c r="L46" s="196">
        <v>997473.99985663104</v>
      </c>
      <c r="M46" s="79">
        <f t="shared" si="3"/>
        <v>14.241203880273352</v>
      </c>
      <c r="N46" s="196">
        <v>1025056.0000250844</v>
      </c>
      <c r="O46" s="80">
        <f t="shared" si="4"/>
        <v>14.634999495879509</v>
      </c>
      <c r="P46" s="81">
        <v>3.7455811701915422</v>
      </c>
      <c r="Q46" s="81">
        <v>6.5</v>
      </c>
      <c r="R46" s="81">
        <v>22.998778799825104</v>
      </c>
      <c r="S46" s="81">
        <v>5.95</v>
      </c>
      <c r="T46" s="81">
        <v>3.8907800000000003</v>
      </c>
      <c r="U46" s="198">
        <v>1916213</v>
      </c>
      <c r="V46" s="198">
        <v>-53818.304220985003</v>
      </c>
      <c r="W46" s="82">
        <f t="shared" si="5"/>
        <v>-2.8085763023727011</v>
      </c>
      <c r="X46" s="197">
        <v>-535.96138928000005</v>
      </c>
      <c r="Y46" s="199">
        <f t="shared" si="6"/>
        <v>-2.796982325451294E-2</v>
      </c>
      <c r="Z46" s="197">
        <v>-55804.831904775005</v>
      </c>
      <c r="AA46" s="82">
        <f t="shared" si="7"/>
        <v>-2.9122457631158438</v>
      </c>
      <c r="AB46" s="197">
        <v>-1450.56629451</v>
      </c>
      <c r="AC46" s="82">
        <f t="shared" si="8"/>
        <v>-7.5699637488629914E-2</v>
      </c>
      <c r="AD46" s="197">
        <v>374715</v>
      </c>
      <c r="AE46" s="82">
        <f t="shared" si="0"/>
        <v>19.554976403980142</v>
      </c>
      <c r="AF46" s="82"/>
      <c r="AG46" s="82"/>
      <c r="AH46" s="197">
        <v>78183.84004498001</v>
      </c>
      <c r="AI46" s="82">
        <f t="shared" si="9"/>
        <v>4.0801226191963007</v>
      </c>
      <c r="AJ46" s="83">
        <f>HLOOKUP(B46,'RTN-2.2'!$A$5:$AC$164,2,0)</f>
        <v>1488999.2062827144</v>
      </c>
      <c r="AK46" s="176">
        <f>HLOOKUP(B46,'RTN-2.2-A'!$A$5:$AC$164,2,0)*100</f>
        <v>21.25884110992887</v>
      </c>
      <c r="AL46" s="84"/>
      <c r="AM46" s="84"/>
      <c r="AN46" s="84">
        <f>HLOOKUP(B46,'RTN-2.2'!$A$5:$AC$164,3,0)</f>
        <v>905052.42457350995</v>
      </c>
      <c r="AO46" s="176">
        <f>HLOOKUP(B46,'RTN-2.2-A'!$A$5:$AC$164,3,0)*100</f>
        <v>12.921676256764227</v>
      </c>
      <c r="AP46" s="84"/>
      <c r="AQ46" s="84"/>
      <c r="AR46" s="83">
        <f>HLOOKUP(B46,'RTN-2.2'!$A$5:$AC$164,15,0)</f>
        <v>101613.50192937</v>
      </c>
      <c r="AS46" s="176">
        <f>HLOOKUP(B46,'RTN-2.2-A'!$A$5:$AC$164,15,0)*100</f>
        <v>1.4507632260817849</v>
      </c>
      <c r="AT46" s="83">
        <f>HLOOKUP(B46,'RTN-2.2'!$A$5:$AC$164,16,0)</f>
        <v>53585.498387109998</v>
      </c>
      <c r="AU46" s="176">
        <f>HLOOKUP(B46,'RTN-2.2-A'!$A$5:$AC$164,16,0)*100</f>
        <v>0.76505453542305601</v>
      </c>
      <c r="AV46" s="84">
        <f>HLOOKUP(B46,'RTN-2.2'!$A$5:$AC$164,13,0)</f>
        <v>124194.11478871002</v>
      </c>
      <c r="AW46" s="176">
        <f>HLOOKUP(B46,'RTN-2.2-A'!$A$5:$AC$164,13,0)*100</f>
        <v>1.7731526933938191</v>
      </c>
      <c r="AX46" s="83"/>
      <c r="AY46" s="84"/>
      <c r="AZ46" s="85">
        <f>HLOOKUP(B46,'RTN-2.2'!$A$5:$AC$164,59,0)</f>
        <v>1352496.8205198538</v>
      </c>
      <c r="BA46" s="86">
        <f>HLOOKUP(B46,'RTN-2.2-A'!$A$5:$AC$164,59,0)*100</f>
        <v>19.309959929996332</v>
      </c>
      <c r="BB46" s="85"/>
      <c r="BC46" s="86"/>
      <c r="BD46" s="85"/>
      <c r="BE46" s="86"/>
      <c r="BF46" s="86"/>
      <c r="BG46" s="86"/>
      <c r="BH46" s="85"/>
      <c r="BI46" s="86"/>
      <c r="BJ46" s="86"/>
      <c r="BK46" s="86"/>
      <c r="BL46" s="85">
        <f>HLOOKUP(B46,'RTN-2.2'!$A$5:$AC$164,159,0)*(-1)</f>
        <v>310307.13012869994</v>
      </c>
      <c r="BM46" s="86">
        <f>HLOOKUP(B46,'RTN-2.2-A'!$A$5:$AC$164,159,0)*100*(-1)</f>
        <v>4.4303381404432614</v>
      </c>
      <c r="BN46" s="87">
        <f>HLOOKUP(B46,'RTN-2.2'!$A$5:$AC$164,151,0)</f>
        <v>-120221.28239453673</v>
      </c>
      <c r="BO46" s="87">
        <f>HLOOKUP(B46,'RTN-2.2-A'!$A$5:$AC$164,151,0)*100</f>
        <v>-1.7164314995424419</v>
      </c>
      <c r="BP46" s="87"/>
      <c r="BQ46" s="87"/>
      <c r="BR46" s="93">
        <f>'BCB-DBGG-anual'!B14</f>
        <v>5271982.2585680904</v>
      </c>
      <c r="BS46" s="93">
        <f>'BCB-DBGG-anual'!C14</f>
        <v>75.269504977817419</v>
      </c>
      <c r="BU46" s="10"/>
    </row>
    <row r="47" spans="2:73">
      <c r="B47" s="30">
        <v>2019</v>
      </c>
      <c r="C47" s="79">
        <v>7389130.999453282</v>
      </c>
      <c r="D47" s="79"/>
      <c r="E47" s="79"/>
      <c r="F47" s="80"/>
      <c r="G47" s="79">
        <v>1.2207778175691297</v>
      </c>
      <c r="H47" s="196">
        <v>1143184.9995567244</v>
      </c>
      <c r="I47" s="79">
        <f t="shared" si="1"/>
        <v>15.471169744335405</v>
      </c>
      <c r="J47" s="196">
        <v>4813579.0006618388</v>
      </c>
      <c r="K47" s="79">
        <f t="shared" si="2"/>
        <v>65.144047399051303</v>
      </c>
      <c r="L47" s="196">
        <v>1091178.0001113815</v>
      </c>
      <c r="M47" s="79">
        <f t="shared" si="3"/>
        <v>14.767338678825931</v>
      </c>
      <c r="N47" s="196">
        <v>1043560.9999632281</v>
      </c>
      <c r="O47" s="80">
        <f t="shared" si="4"/>
        <v>14.122919190909467</v>
      </c>
      <c r="P47" s="81">
        <v>4.3061516171595287</v>
      </c>
      <c r="Q47" s="81">
        <v>4.5</v>
      </c>
      <c r="R47" s="81">
        <v>22.708943813753034</v>
      </c>
      <c r="S47" s="81">
        <v>5.29</v>
      </c>
      <c r="T47" s="81">
        <v>4.0597500000000002</v>
      </c>
      <c r="U47" s="198">
        <v>1872800</v>
      </c>
      <c r="V47" s="198">
        <v>-63959.511165035008</v>
      </c>
      <c r="W47" s="82">
        <f t="shared" si="5"/>
        <v>-3.4151810745960596</v>
      </c>
      <c r="X47" s="197">
        <v>-2651.3204870099999</v>
      </c>
      <c r="Y47" s="199">
        <f t="shared" si="6"/>
        <v>-0.14156986795226398</v>
      </c>
      <c r="Z47" s="197">
        <v>-67347.206434944979</v>
      </c>
      <c r="AA47" s="82">
        <f t="shared" si="7"/>
        <v>-3.5960703991320475</v>
      </c>
      <c r="AB47" s="197">
        <v>-736.37478289998216</v>
      </c>
      <c r="AC47" s="82">
        <f t="shared" si="8"/>
        <v>-3.9319456583723954E-2</v>
      </c>
      <c r="AD47" s="197">
        <v>356884</v>
      </c>
      <c r="AE47" s="82">
        <f t="shared" si="0"/>
        <v>19.056172575822298</v>
      </c>
      <c r="AF47" s="82"/>
      <c r="AG47" s="82"/>
      <c r="AH47" s="197">
        <v>69174.411753449996</v>
      </c>
      <c r="AI47" s="82">
        <f t="shared" si="9"/>
        <v>3.6936358262200977</v>
      </c>
      <c r="AJ47" s="83">
        <f>HLOOKUP(B47,'RTN-2.2'!$A$5:$AC$164,2,0)</f>
        <v>1635607.8622300299</v>
      </c>
      <c r="AK47" s="176">
        <f>HLOOKUP(B47,'RTN-2.2-A'!$A$5:$AC$164,2,0)*100</f>
        <v>22.135320951151741</v>
      </c>
      <c r="AL47" s="84"/>
      <c r="AM47" s="84"/>
      <c r="AN47" s="84">
        <f>HLOOKUP(B47,'RTN-2.2'!$A$5:$AC$164,3,0)</f>
        <v>946082.86379665986</v>
      </c>
      <c r="AO47" s="176">
        <f>HLOOKUP(B47,'RTN-2.2-A'!$A$5:$AC$164,3,0)*100</f>
        <v>12.803709446573086</v>
      </c>
      <c r="AP47" s="84"/>
      <c r="AQ47" s="84"/>
      <c r="AR47" s="83">
        <f>HLOOKUP(B47,'RTN-2.2'!$A$5:$AC$164,15,0)</f>
        <v>116822.87327513</v>
      </c>
      <c r="AS47" s="176">
        <f>HLOOKUP(B47,'RTN-2.2-A'!$A$5:$AC$164,15,0)*100</f>
        <v>1.5810096381262382</v>
      </c>
      <c r="AT47" s="83">
        <f>HLOOKUP(B47,'RTN-2.2'!$A$5:$AC$164,16,0)</f>
        <v>57184.160371309983</v>
      </c>
      <c r="AU47" s="176">
        <f>HLOOKUP(B47,'RTN-2.2-A'!$A$5:$AC$164,16,0)*100</f>
        <v>0.77389560931510115</v>
      </c>
      <c r="AV47" s="84">
        <f>HLOOKUP(B47,'RTN-2.2'!$A$5:$AC$164,13,0)</f>
        <v>131462.43042083998</v>
      </c>
      <c r="AW47" s="176">
        <f>HLOOKUP(B47,'RTN-2.2-A'!$A$5:$AC$164,13,0)*100</f>
        <v>1.7791324910949184</v>
      </c>
      <c r="AX47" s="83"/>
      <c r="AY47" s="84"/>
      <c r="AZ47" s="85">
        <f>HLOOKUP(B47,'RTN-2.2'!$A$5:$AC$164,59,0)</f>
        <v>1442341.8449397744</v>
      </c>
      <c r="BA47" s="86">
        <f>HLOOKUP(B47,'RTN-2.2-A'!$A$5:$AC$164,59,0)*100</f>
        <v>19.519776345100563</v>
      </c>
      <c r="BB47" s="85"/>
      <c r="BC47" s="86"/>
      <c r="BD47" s="85"/>
      <c r="BE47" s="86"/>
      <c r="BF47" s="86"/>
      <c r="BG47" s="86"/>
      <c r="BH47" s="85"/>
      <c r="BI47" s="86"/>
      <c r="BJ47" s="86"/>
      <c r="BK47" s="86"/>
      <c r="BL47" s="85">
        <f>HLOOKUP(B47,'RTN-2.2'!$A$5:$AC$164,159,0)*(-1)</f>
        <v>310115.06477194</v>
      </c>
      <c r="BM47" s="86">
        <f>HLOOKUP(B47,'RTN-2.2-A'!$A$5:$AC$164,159,0)*100*(-1)</f>
        <v>4.1969084699524926</v>
      </c>
      <c r="BN47" s="87">
        <f>HLOOKUP(B47,'RTN-2.2'!$A$5:$AC$164,151,0)</f>
        <v>-95064.746691207416</v>
      </c>
      <c r="BO47" s="87">
        <f>HLOOKUP(B47,'RTN-2.2-A'!$A$5:$AC$164,151,0)*100</f>
        <v>-1.2865484005932664</v>
      </c>
      <c r="BP47" s="87"/>
      <c r="BQ47" s="87"/>
      <c r="BR47" s="93">
        <f>'BCB-DBGG-anual'!B15</f>
        <v>5500104.1565490607</v>
      </c>
      <c r="BS47" s="93">
        <f>'BCB-DBGG-anual'!C15</f>
        <v>74.435060861094655</v>
      </c>
    </row>
    <row r="48" spans="2:73">
      <c r="B48" s="30">
        <v>2020</v>
      </c>
      <c r="C48" s="79">
        <v>7609597.0005758246</v>
      </c>
      <c r="D48" s="79"/>
      <c r="E48" s="79"/>
      <c r="F48" s="80"/>
      <c r="G48" s="79">
        <v>-3.2767587827288613</v>
      </c>
      <c r="H48" s="196">
        <v>1260227.0000817163</v>
      </c>
      <c r="I48" s="79">
        <f t="shared" si="1"/>
        <v>16.561021562460589</v>
      </c>
      <c r="J48" s="196">
        <v>4805003.9989367556</v>
      </c>
      <c r="K48" s="79">
        <f t="shared" si="2"/>
        <v>63.144000905345663</v>
      </c>
      <c r="L48" s="196">
        <v>1206008.9997955048</v>
      </c>
      <c r="M48" s="79">
        <f t="shared" si="3"/>
        <v>15.848526534378168</v>
      </c>
      <c r="N48" s="196">
        <v>1252049.0002389271</v>
      </c>
      <c r="O48" s="80">
        <f t="shared" si="4"/>
        <v>16.453552009970878</v>
      </c>
      <c r="P48" s="81">
        <v>4.5174568864245117</v>
      </c>
      <c r="Q48" s="81">
        <v>2</v>
      </c>
      <c r="R48" s="81">
        <v>18.29581824385642</v>
      </c>
      <c r="S48" s="81">
        <v>4.3499999999999996</v>
      </c>
      <c r="T48" s="81">
        <v>5.1644899999999998</v>
      </c>
      <c r="U48" s="198">
        <v>1475529</v>
      </c>
      <c r="V48" s="198">
        <v>-24223.442477914996</v>
      </c>
      <c r="W48" s="82">
        <f t="shared" si="5"/>
        <v>-1.6416785083800451</v>
      </c>
      <c r="X48" s="197">
        <v>846.88194233000013</v>
      </c>
      <c r="Y48" s="199">
        <f t="shared" si="6"/>
        <v>5.7395140477076362E-2</v>
      </c>
      <c r="Z48" s="197">
        <v>-16260.263275065003</v>
      </c>
      <c r="AA48" s="82">
        <f t="shared" si="7"/>
        <v>-1.1019955063617863</v>
      </c>
      <c r="AB48" s="197">
        <v>7116.2972605199939</v>
      </c>
      <c r="AC48" s="82">
        <f t="shared" si="8"/>
        <v>0.48228786154118242</v>
      </c>
      <c r="AD48" s="197">
        <v>355620</v>
      </c>
      <c r="AE48" s="82">
        <f t="shared" si="0"/>
        <v>24.101186760815953</v>
      </c>
      <c r="AF48" s="82"/>
      <c r="AG48" s="82"/>
      <c r="AH48" s="197">
        <v>38270.116307450007</v>
      </c>
      <c r="AI48" s="82">
        <f t="shared" si="9"/>
        <v>2.5936539578313949</v>
      </c>
      <c r="AJ48" s="83">
        <f>HLOOKUP(B48,'RTN-2.2'!$A$5:$AC$164,2,0)</f>
        <v>1468096.1372304999</v>
      </c>
      <c r="AK48" s="176">
        <f>HLOOKUP(B48,'RTN-2.2-A'!$A$5:$AC$164,2,0)*100</f>
        <v>19.292692334684844</v>
      </c>
      <c r="AL48" s="84"/>
      <c r="AM48" s="84"/>
      <c r="AN48" s="84">
        <f>HLOOKUP(B48,'RTN-2.2'!$A$5:$AC$164,3,0)</f>
        <v>899522.50790374994</v>
      </c>
      <c r="AO48" s="176">
        <f>HLOOKUP(B48,'RTN-2.2-A'!$A$5:$AC$164,3,0)*100</f>
        <v>11.820895480216393</v>
      </c>
      <c r="AP48" s="84"/>
      <c r="AQ48" s="84"/>
      <c r="AR48" s="83">
        <f>HLOOKUP(B48,'RTN-2.2'!$A$5:$AC$164,15,0)</f>
        <v>114819.76677792</v>
      </c>
      <c r="AS48" s="176">
        <f>HLOOKUP(B48,'RTN-2.2-A'!$A$5:$AC$164,15,0)*100</f>
        <v>1.5088810454644508</v>
      </c>
      <c r="AT48" s="83">
        <f>HLOOKUP(B48,'RTN-2.2'!$A$5:$AC$164,16,0)</f>
        <v>48346.121954729992</v>
      </c>
      <c r="AU48" s="176">
        <f>HLOOKUP(B48,'RTN-2.2-A'!$A$5:$AC$164,16,0)*100</f>
        <v>0.63533091109912398</v>
      </c>
      <c r="AV48" s="84">
        <f>HLOOKUP(B48,'RTN-2.2'!$A$5:$AC$164,13,0)</f>
        <v>126635.38666492997</v>
      </c>
      <c r="AW48" s="176">
        <f>HLOOKUP(B48,'RTN-2.2-A'!$A$5:$AC$164,13,0)*100</f>
        <v>1.6641536556449357</v>
      </c>
      <c r="AX48" s="83"/>
      <c r="AY48" s="84"/>
      <c r="AZ48" s="85">
        <f>HLOOKUP(B48,'RTN-2.2'!$A$5:$AC$164,59,0)</f>
        <v>1947552.9069374381</v>
      </c>
      <c r="BA48" s="86">
        <f>HLOOKUP(B48,'RTN-2.2-A'!$A$5:$AC$164,59,0)*100</f>
        <v>25.59337776744373</v>
      </c>
      <c r="BB48" s="85"/>
      <c r="BC48" s="86"/>
      <c r="BD48" s="85"/>
      <c r="BE48" s="86"/>
      <c r="BF48" s="86"/>
      <c r="BG48" s="86"/>
      <c r="BH48" s="85"/>
      <c r="BI48" s="86"/>
      <c r="BJ48" s="86"/>
      <c r="BK48" s="86"/>
      <c r="BL48" s="85">
        <f>HLOOKUP(B48,'RTN-2.2'!$A$5:$AC$164,159,0)*(-1)</f>
        <v>266657.22489965998</v>
      </c>
      <c r="BM48" s="86">
        <f>HLOOKUP(B48,'RTN-2.2-A'!$A$5:$AC$164,159,0)*100*(-1)</f>
        <v>3.5042226924695461</v>
      </c>
      <c r="BN48" s="87">
        <f>HLOOKUP(B48,'RTN-2.2'!$A$5:$AC$164,151,0)</f>
        <v>-743254.81760445994</v>
      </c>
      <c r="BO48" s="87">
        <f>HLOOKUP(B48,'RTN-2.2-A'!$A$5:$AC$164,151,0)*100</f>
        <v>-9.7673348213869566</v>
      </c>
      <c r="BP48" s="87"/>
      <c r="BQ48" s="87"/>
      <c r="BR48" s="93">
        <f>'BCB-DBGG-anual'!B16</f>
        <v>6615755.2038528007</v>
      </c>
      <c r="BS48" s="93">
        <f>'BCB-DBGG-anual'!C16</f>
        <v>86.939626413227728</v>
      </c>
    </row>
    <row r="49" spans="1:71">
      <c r="B49" s="30">
        <v>2021</v>
      </c>
      <c r="C49" s="79">
        <v>9012141.9992844798</v>
      </c>
      <c r="D49" s="79"/>
      <c r="E49" s="79"/>
      <c r="F49" s="80"/>
      <c r="G49" s="79">
        <v>4.7626043674215746</v>
      </c>
      <c r="H49" s="196">
        <v>1614781.9999449765</v>
      </c>
      <c r="I49" s="79">
        <f t="shared" si="1"/>
        <v>17.917849053789681</v>
      </c>
      <c r="J49" s="196">
        <v>5530570.9993558321</v>
      </c>
      <c r="K49" s="79">
        <f t="shared" si="2"/>
        <v>61.367996640476065</v>
      </c>
      <c r="L49" s="196">
        <v>1671472.9996632207</v>
      </c>
      <c r="M49" s="79">
        <f t="shared" si="3"/>
        <v>18.546900390561174</v>
      </c>
      <c r="N49" s="196">
        <v>1722169.0000813156</v>
      </c>
      <c r="O49" s="80">
        <f t="shared" si="4"/>
        <v>19.109430368696447</v>
      </c>
      <c r="P49" s="81">
        <v>10.060982737443325</v>
      </c>
      <c r="Q49" s="81">
        <v>9.25</v>
      </c>
      <c r="R49" s="81">
        <v>24.3108182770297</v>
      </c>
      <c r="S49" s="81">
        <v>9.27</v>
      </c>
      <c r="T49" s="81">
        <v>5.6644600000000001</v>
      </c>
      <c r="U49" s="198">
        <v>1670493</v>
      </c>
      <c r="V49" s="198">
        <v>-39397.557333010001</v>
      </c>
      <c r="W49" s="82">
        <f t="shared" si="5"/>
        <v>-2.358438935871626</v>
      </c>
      <c r="X49" s="197">
        <v>-5723.4605428099994</v>
      </c>
      <c r="Y49" s="199">
        <f t="shared" si="6"/>
        <v>-0.34262104317767267</v>
      </c>
      <c r="Z49" s="197">
        <v>-50167.884370850014</v>
      </c>
      <c r="AA49" s="82">
        <f t="shared" si="7"/>
        <v>-3.0031783653598079</v>
      </c>
      <c r="AB49" s="197">
        <v>-5046.8664950300099</v>
      </c>
      <c r="AC49" s="82">
        <f t="shared" si="8"/>
        <v>-0.30211838631050891</v>
      </c>
      <c r="AD49" s="197">
        <v>362204</v>
      </c>
      <c r="AE49" s="82">
        <f t="shared" si="0"/>
        <v>21.682461405106157</v>
      </c>
      <c r="AF49" s="82"/>
      <c r="AG49" s="82"/>
      <c r="AH49" s="197">
        <v>46440.50352019001</v>
      </c>
      <c r="AI49" s="82">
        <f t="shared" si="9"/>
        <v>2.7800477775237615</v>
      </c>
      <c r="AJ49" s="83">
        <f>HLOOKUP(B49,'RTN-2.2'!$A$5:$AC$164,2,0)</f>
        <v>1932649.6796227393</v>
      </c>
      <c r="AK49" s="176">
        <f>HLOOKUP(B49,'RTN-2.2-A'!$A$5:$AC$164,2,0)*100</f>
        <v>21.444953705525087</v>
      </c>
      <c r="AL49" s="84"/>
      <c r="AM49" s="84"/>
      <c r="AN49" s="84">
        <f>HLOOKUP(B49,'RTN-2.2'!$A$5:$AC$164,3,0)</f>
        <v>1195712.3013091399</v>
      </c>
      <c r="AO49" s="176">
        <f>HLOOKUP(B49,'RTN-2.2-A'!$A$5:$AC$164,3,0)*100</f>
        <v>13.267792511525828</v>
      </c>
      <c r="AP49" s="84"/>
      <c r="AQ49" s="84"/>
      <c r="AR49" s="83">
        <f>HLOOKUP(B49,'RTN-2.2'!$A$5:$AC$164,15,0)</f>
        <v>130681.79093581002</v>
      </c>
      <c r="AS49" s="176">
        <f>HLOOKUP(B49,'RTN-2.2-A'!$A$5:$AC$164,15,0)*100</f>
        <v>1.4500636024841325</v>
      </c>
      <c r="AT49" s="83">
        <f>HLOOKUP(B49,'RTN-2.2'!$A$5:$AC$164,16,0)</f>
        <v>55575.662195900004</v>
      </c>
      <c r="AU49" s="176">
        <f>HLOOKUP(B49,'RTN-2.2-A'!$A$5:$AC$164,16,0)*100</f>
        <v>0.61667539415504602</v>
      </c>
      <c r="AV49" s="84">
        <f>HLOOKUP(B49,'RTN-2.2'!$A$5:$AC$164,13,0)</f>
        <v>214466.78745233006</v>
      </c>
      <c r="AW49" s="176">
        <f>HLOOKUP(B49,'RTN-2.2-A'!$A$5:$AC$164,13,0)*100</f>
        <v>2.3797537529852248</v>
      </c>
      <c r="AX49" s="83"/>
      <c r="AY49" s="84"/>
      <c r="AZ49" s="85">
        <f>HLOOKUP(B49,'RTN-2.2'!$A$5:$AC$164,59,0)</f>
        <v>1614170.7792012165</v>
      </c>
      <c r="BA49" s="86">
        <f>HLOOKUP(B49,'RTN-2.2-A'!$A$5:$AC$164,59,0)*100</f>
        <v>17.911066862121949</v>
      </c>
      <c r="BB49" s="85"/>
      <c r="BC49" s="86"/>
      <c r="BD49" s="85"/>
      <c r="BE49" s="86"/>
      <c r="BF49" s="86"/>
      <c r="BG49" s="86"/>
      <c r="BH49" s="85"/>
      <c r="BI49" s="86"/>
      <c r="BJ49" s="86"/>
      <c r="BK49" s="86"/>
      <c r="BL49" s="85">
        <f>HLOOKUP(B49,'RTN-2.2'!$A$5:$AC$164,159,0)*(-1)</f>
        <v>407282.23516923003</v>
      </c>
      <c r="BM49" s="86">
        <f>HLOOKUP(B49,'RTN-2.2-A'!$A$5:$AC$164,159,0)*100*(-1)</f>
        <v>4.5192611834297143</v>
      </c>
      <c r="BN49" s="87">
        <f>HLOOKUP(B49,'RTN-2.2'!$A$5:$AC$164,151,0)</f>
        <v>-35067.934490291867</v>
      </c>
      <c r="BO49" s="87">
        <f>HLOOKUP(B49,'RTN-2.2-A'!$A$5:$AC$164,151,0)*100</f>
        <v>-0.38911875215765684</v>
      </c>
      <c r="BP49" s="87"/>
      <c r="BQ49" s="87"/>
      <c r="BR49" s="93">
        <f>'BCB-DBGG-anual'!B17</f>
        <v>6966925.2007508585</v>
      </c>
      <c r="BS49" s="93">
        <f>'BCB-DBGG-anual'!C17</f>
        <v>77.305985650292669</v>
      </c>
    </row>
    <row r="50" spans="1:71">
      <c r="B50" s="30">
        <v>2022</v>
      </c>
      <c r="C50" s="79">
        <v>10079676.679176029</v>
      </c>
      <c r="D50" s="79"/>
      <c r="E50" s="79"/>
      <c r="F50" s="80"/>
      <c r="G50" s="79">
        <v>3.0166943540810509</v>
      </c>
      <c r="H50" s="196">
        <v>1794223.0088024843</v>
      </c>
      <c r="I50" s="79">
        <f t="shared" si="1"/>
        <v>17.800402392958048</v>
      </c>
      <c r="J50" s="196">
        <v>6356657.6633760771</v>
      </c>
      <c r="K50" s="79">
        <f t="shared" si="2"/>
        <v>63.064102805088261</v>
      </c>
      <c r="L50" s="196">
        <v>1933816.3080000002</v>
      </c>
      <c r="M50" s="79">
        <f t="shared" si="3"/>
        <v>19.185300972948287</v>
      </c>
      <c r="N50" s="196">
        <v>1978717.642</v>
      </c>
      <c r="O50" s="80">
        <f t="shared" si="4"/>
        <v>19.630765003483742</v>
      </c>
      <c r="P50" s="81">
        <v>5.7850929078894922</v>
      </c>
      <c r="Q50" s="81">
        <v>13.75</v>
      </c>
      <c r="R50" s="81">
        <v>29.688297735605641</v>
      </c>
      <c r="S50" s="81">
        <v>12.39</v>
      </c>
      <c r="T50" s="81">
        <v>5.2272800000000004</v>
      </c>
      <c r="U50" s="198">
        <v>1951572</v>
      </c>
      <c r="V50" s="198">
        <v>-41960.059748660002</v>
      </c>
      <c r="W50" s="82">
        <f t="shared" si="5"/>
        <v>-2.1500646529392715</v>
      </c>
      <c r="X50" s="197">
        <v>-7123.9353636799997</v>
      </c>
      <c r="Y50" s="199">
        <f t="shared" si="6"/>
        <v>-0.36503574368150393</v>
      </c>
      <c r="Z50" s="197">
        <v>-49148.115999040005</v>
      </c>
      <c r="AA50" s="82">
        <f t="shared" si="7"/>
        <v>-2.5183859985201678</v>
      </c>
      <c r="AB50" s="197">
        <v>-64.120886700003553</v>
      </c>
      <c r="AC50" s="82">
        <f t="shared" si="8"/>
        <v>-3.2856018993920569E-3</v>
      </c>
      <c r="AD50" s="197">
        <v>324703</v>
      </c>
      <c r="AE50" s="82">
        <f t="shared" si="0"/>
        <v>16.638023091128588</v>
      </c>
      <c r="AF50" s="82"/>
      <c r="AG50" s="82"/>
      <c r="AH50" s="197">
        <v>75501.038733309993</v>
      </c>
      <c r="AI50" s="82">
        <f t="shared" si="9"/>
        <v>3.8687293491252177</v>
      </c>
      <c r="AJ50" s="83">
        <f>HLOOKUP(B50,'RTN-2.2'!$A$5:$AC$164,2,0)</f>
        <v>2313305.42584203</v>
      </c>
      <c r="AK50" s="176">
        <f>HLOOKUP(B50,'RTN-2.2-A'!$A$5:$AC$164,2,0)*100</f>
        <v>22.95019472818182</v>
      </c>
      <c r="AL50" s="84"/>
      <c r="AM50" s="84"/>
      <c r="AN50" s="84">
        <f>HLOOKUP(B50,'RTN-2.2'!$A$5:$AC$164,3,0)</f>
        <v>1390000.44825626</v>
      </c>
      <c r="AO50" s="176">
        <f>HLOOKUP(B50,'RTN-2.2-A'!$A$5:$AC$164,3,0)*100</f>
        <v>13.790129311666439</v>
      </c>
      <c r="AP50" s="84"/>
      <c r="AQ50" s="84"/>
      <c r="AR50" s="83">
        <f>HLOOKUP(B50,'RTN-2.2'!$A$5:$AC$164,15,0)</f>
        <v>153160.51423087</v>
      </c>
      <c r="AS50" s="176">
        <f>HLOOKUP(B50,'RTN-2.2-A'!$A$5:$AC$164,15,0)*100</f>
        <v>1.5194982845758322</v>
      </c>
      <c r="AT50" s="83">
        <f>HLOOKUP(B50,'RTN-2.2'!$A$5:$AC$164,16,0)</f>
        <v>97046.627638880003</v>
      </c>
      <c r="AU50" s="176">
        <f>HLOOKUP(B50,'RTN-2.2-A'!$A$5:$AC$164,16,0)*100</f>
        <v>0.96279504519596504</v>
      </c>
      <c r="AV50" s="84">
        <f>HLOOKUP(B50,'RTN-2.2'!$A$5:$AC$164,13,0)</f>
        <v>286330.20464304992</v>
      </c>
      <c r="AW50" s="176">
        <f>HLOOKUP(B50,'RTN-2.2-A'!$A$5:$AC$164,13,0)*100</f>
        <v>2.8406685428173493</v>
      </c>
      <c r="AX50" s="83"/>
      <c r="AY50" s="84"/>
      <c r="AZ50" s="85">
        <f>HLOOKUP(B50,'RTN-2.2'!$A$5:$AC$164,59,0)</f>
        <v>1809693.0913005164</v>
      </c>
      <c r="BA50" s="86">
        <f>HLOOKUP(B50,'RTN-2.2-A'!$A$5:$AC$164,59,0)*100</f>
        <v>17.953880356492256</v>
      </c>
      <c r="BB50" s="85"/>
      <c r="BC50" s="86"/>
      <c r="BD50" s="85"/>
      <c r="BE50" s="86"/>
      <c r="BF50" s="86"/>
      <c r="BG50" s="86"/>
      <c r="BH50" s="85"/>
      <c r="BI50" s="86"/>
      <c r="BJ50" s="86"/>
      <c r="BK50" s="86"/>
      <c r="BL50" s="85">
        <f>HLOOKUP(B50,'RTN-2.2'!$A$5:$AC$164,159,0)*(-1)</f>
        <v>503234.39651791996</v>
      </c>
      <c r="BM50" s="86">
        <f>HLOOKUP(B50,'RTN-2.2-A'!$A$5:$AC$164,159,0)*100*(-1)</f>
        <v>4.9925648662676858</v>
      </c>
      <c r="BN50" s="87">
        <f>HLOOKUP(B50,'RTN-2.2'!$A$5:$AC$164,151,0)</f>
        <v>46408.461610137107</v>
      </c>
      <c r="BO50" s="87">
        <f>HLOOKUP(B50,'RTN-2.2-A'!$A$5:$AC$164,151,0)*100</f>
        <v>0.46041617293155868</v>
      </c>
      <c r="BP50" s="87"/>
      <c r="BQ50" s="87"/>
      <c r="BR50" s="93">
        <f>'BCB-DBGG-anual'!B18</f>
        <v>7224882.2303649411</v>
      </c>
      <c r="BS50" s="93">
        <f>'BCB-DBGG-anual'!C18</f>
        <v>71.67771804914247</v>
      </c>
    </row>
    <row r="51" spans="1:71">
      <c r="B51" s="30">
        <v>2023</v>
      </c>
      <c r="C51" s="79">
        <v>10943344.667905044</v>
      </c>
      <c r="D51" s="79"/>
      <c r="E51" s="79"/>
      <c r="F51" s="80"/>
      <c r="G51" s="79">
        <v>3.2416553281358285</v>
      </c>
      <c r="H51" s="196">
        <v>1795909.5695337153</v>
      </c>
      <c r="I51" s="79">
        <f t="shared" si="1"/>
        <v>16.410975108924518</v>
      </c>
      <c r="J51" s="196">
        <v>6886025.5702404212</v>
      </c>
      <c r="K51" s="79">
        <f t="shared" si="2"/>
        <v>62.924323223008358</v>
      </c>
      <c r="L51" s="196">
        <v>1717766.4739999999</v>
      </c>
      <c r="M51" s="79">
        <f t="shared" si="3"/>
        <v>15.696905526862503</v>
      </c>
      <c r="N51" s="196">
        <v>1966445.0930000001</v>
      </c>
      <c r="O51" s="80">
        <f t="shared" si="4"/>
        <v>17.969324303265775</v>
      </c>
      <c r="P51" s="81">
        <v>4.621190005081786</v>
      </c>
      <c r="Q51" s="81">
        <v>11.75</v>
      </c>
      <c r="R51" s="81">
        <v>28.173559658490287</v>
      </c>
      <c r="S51" s="81">
        <v>3.09</v>
      </c>
      <c r="T51" s="81">
        <v>4.870989999999999</v>
      </c>
      <c r="U51" s="198">
        <v>2190991</v>
      </c>
      <c r="V51" s="198">
        <v>-27073.22717958497</v>
      </c>
      <c r="W51" s="82">
        <f t="shared" si="5"/>
        <v>-1.2356612683294899</v>
      </c>
      <c r="X51" s="197">
        <v>-11365.728054339997</v>
      </c>
      <c r="Y51" s="199">
        <f t="shared" si="6"/>
        <v>-0.51874827666293466</v>
      </c>
      <c r="Z51" s="197">
        <v>-38388.920427560006</v>
      </c>
      <c r="AA51" s="82">
        <f t="shared" si="7"/>
        <v>-1.7521258840205187</v>
      </c>
      <c r="AB51" s="197">
        <v>50.034806364975793</v>
      </c>
      <c r="AC51" s="82">
        <f t="shared" si="8"/>
        <v>2.2836609719061279E-3</v>
      </c>
      <c r="AD51" s="197">
        <v>355034</v>
      </c>
      <c r="AE51" s="82">
        <f t="shared" si="0"/>
        <v>16.204265558370619</v>
      </c>
      <c r="AF51" s="82"/>
      <c r="AG51" s="82"/>
      <c r="AH51" s="197">
        <v>62750.364285479998</v>
      </c>
      <c r="AI51" s="82">
        <f t="shared" si="9"/>
        <v>2.864017437108596</v>
      </c>
      <c r="AJ51" s="83">
        <f>HLOOKUP(B51,'RTN-2.2'!$A$5:$AC$164,2,0)</f>
        <v>2353432.2430285001</v>
      </c>
      <c r="AK51" s="176">
        <f>HLOOKUP(B51,'RTN-2.2-A'!$A$5:$AC$164,2,0)*100</f>
        <v>21.505602852213134</v>
      </c>
      <c r="AL51" s="84"/>
      <c r="AM51" s="84"/>
      <c r="AN51" s="84">
        <f>HLOOKUP(B51,'RTN-2.2'!$A$5:$AC$164,3,0)</f>
        <v>1439302.59864158</v>
      </c>
      <c r="AO51" s="176">
        <f>HLOOKUP(B51,'RTN-2.2-A'!$A$5:$AC$164,3,0)*100</f>
        <v>13.152309849682506</v>
      </c>
      <c r="AP51" s="84"/>
      <c r="AQ51" s="84"/>
      <c r="AR51" s="83">
        <f>HLOOKUP(B51,'RTN-2.2'!$A$5:$AC$164,15,0)</f>
        <v>164752.19563920001</v>
      </c>
      <c r="AS51" s="176">
        <f>HLOOKUP(B51,'RTN-2.2-A'!$A$5:$AC$164,15,0)*100</f>
        <v>1.5055012945209525</v>
      </c>
      <c r="AT51" s="83">
        <f>HLOOKUP(B51,'RTN-2.2'!$A$5:$AC$164,16,0)</f>
        <v>123815.55136598999</v>
      </c>
      <c r="AU51" s="176">
        <f>HLOOKUP(B51,'RTN-2.2-A'!$A$5:$AC$164,16,0)*100</f>
        <v>1.1314232999452156</v>
      </c>
      <c r="AV51" s="84">
        <f>HLOOKUP(B51,'RTN-2.2'!$A$5:$AC$164,13,0)</f>
        <v>261802.26303409997</v>
      </c>
      <c r="AW51" s="176">
        <f>HLOOKUP(B51,'RTN-2.2-A'!$A$5:$AC$164,13,0)*100</f>
        <v>2.3923422955133753</v>
      </c>
      <c r="AX51" s="83"/>
      <c r="AY51" s="84"/>
      <c r="AZ51" s="85">
        <f>HLOOKUP(B51,'RTN-2.2'!$A$5:$AC$164,59,0)</f>
        <v>2129922.5380383665</v>
      </c>
      <c r="BA51" s="86">
        <f>HLOOKUP(B51,'RTN-2.2-A'!$A$5:$AC$164,59,0)*100</f>
        <v>19.463176959828978</v>
      </c>
      <c r="BB51" s="85"/>
      <c r="BC51" s="86"/>
      <c r="BD51" s="85"/>
      <c r="BE51" s="86"/>
      <c r="BF51" s="86"/>
      <c r="BG51" s="86"/>
      <c r="BH51" s="85"/>
      <c r="BI51" s="86"/>
      <c r="BJ51" s="86"/>
      <c r="BK51" s="86"/>
      <c r="BL51" s="85">
        <f>HLOOKUP(B51,'RTN-2.2'!$A$5:$AC$164,159,0)*(-1)</f>
        <v>614548.08589738002</v>
      </c>
      <c r="BM51" s="86">
        <f>HLOOKUP(B51,'RTN-2.2-A'!$A$5:$AC$164,159,0)*100*(-1)</f>
        <v>5.6157244841217926</v>
      </c>
      <c r="BN51" s="87">
        <f>HLOOKUP(B51,'RTN-2.2'!$A$5:$AC$164,151,0)</f>
        <v>-228499.38129265362</v>
      </c>
      <c r="BO51" s="87">
        <f>HLOOKUP(B51,'RTN-2.2-A'!$A$5:$AC$164,151,0)*100</f>
        <v>-2.0880214251389089</v>
      </c>
      <c r="BP51" s="87"/>
      <c r="BQ51" s="87"/>
      <c r="BR51" s="93">
        <f>'BCB-DBGG-anual'!B19</f>
        <v>8079270.0245204289</v>
      </c>
      <c r="BS51" s="93">
        <f>'BCB-DBGG-anual'!C19</f>
        <v>73.828160125629395</v>
      </c>
    </row>
    <row r="52" spans="1:71" ht="14.25" customHeight="1">
      <c r="A52" s="32"/>
      <c r="B52" s="30">
        <v>2024</v>
      </c>
      <c r="C52" s="79">
        <v>11744710.041818669</v>
      </c>
      <c r="D52" s="79"/>
      <c r="E52" s="79"/>
      <c r="F52" s="80"/>
      <c r="G52" s="79">
        <v>3.3958664556433149</v>
      </c>
      <c r="H52" s="196">
        <v>2000465.4646290643</v>
      </c>
      <c r="I52" s="79">
        <f t="shared" si="1"/>
        <v>17.032906368110662</v>
      </c>
      <c r="J52" s="196">
        <v>7489876.3847634057</v>
      </c>
      <c r="K52" s="79">
        <f t="shared" si="2"/>
        <v>63.772339700977398</v>
      </c>
      <c r="L52" s="196">
        <v>2057266.8629999999</v>
      </c>
      <c r="M52" s="79">
        <f t="shared" si="3"/>
        <v>17.516540260890356</v>
      </c>
      <c r="N52" s="196">
        <v>2115771.929</v>
      </c>
      <c r="O52" s="80">
        <f t="shared" si="4"/>
        <v>18.014679983298869</v>
      </c>
      <c r="P52" s="81">
        <v>4.8311967483947882</v>
      </c>
      <c r="Q52" s="81">
        <v>12.25</v>
      </c>
      <c r="R52" s="81">
        <v>28.475203512534407</v>
      </c>
      <c r="S52" s="81"/>
      <c r="T52" s="81">
        <v>6.1657600000000006</v>
      </c>
      <c r="U52" s="198">
        <v>2178416</v>
      </c>
      <c r="V52" s="198">
        <v>-66168.310204469992</v>
      </c>
      <c r="W52" s="82">
        <f t="shared" si="5"/>
        <v>-3.0374506156982868</v>
      </c>
      <c r="X52" s="197">
        <v>-16269.90193192</v>
      </c>
      <c r="Y52" s="199">
        <f t="shared" si="6"/>
        <v>-0.74686845542449187</v>
      </c>
      <c r="Z52" s="197">
        <v>-88178.151603290011</v>
      </c>
      <c r="AA52" s="82">
        <f t="shared" si="7"/>
        <v>-4.0478105009920062</v>
      </c>
      <c r="AB52" s="197">
        <v>-5739.9394669000094</v>
      </c>
      <c r="AC52" s="82">
        <f t="shared" si="8"/>
        <v>-0.26349142986922652</v>
      </c>
      <c r="AD52" s="197">
        <v>329730</v>
      </c>
      <c r="AE52" s="82">
        <f t="shared" si="0"/>
        <v>15.136227423963099</v>
      </c>
      <c r="AF52" s="82"/>
      <c r="AG52" s="82"/>
      <c r="AH52" s="197">
        <v>74090.78605019</v>
      </c>
      <c r="AI52" s="82">
        <f t="shared" si="9"/>
        <v>3.4011311912045268</v>
      </c>
      <c r="AJ52" s="83">
        <f>HLOOKUP(B52,'RTN-2.2'!$A$5:$AC$164,2,0)</f>
        <v>2679441.60626551</v>
      </c>
      <c r="AK52" s="176">
        <f>HLOOKUP(B52,'RTN-2.2-A'!$A$5:$AC$164,2,0)*100</f>
        <v>22.814029437295485</v>
      </c>
      <c r="AL52" s="84"/>
      <c r="AM52" s="84"/>
      <c r="AN52" s="84">
        <f>HLOOKUP(B52,'RTN-2.2'!$A$5:$AC$164,3,0)</f>
        <v>1690020.4045533903</v>
      </c>
      <c r="AO52" s="176">
        <f>HLOOKUP(B52,'RTN-2.2-A'!$A$5:$AC$164,3,0)*100</f>
        <v>14.389630723413676</v>
      </c>
      <c r="AP52" s="84"/>
      <c r="AQ52" s="84"/>
      <c r="AR52" s="83">
        <f>HLOOKUP(B52,'RTN-2.2'!$A$5:$AC$164,15,0)</f>
        <v>184368.41370323004</v>
      </c>
      <c r="AS52" s="176">
        <f>HLOOKUP(B52,'RTN-2.2-A'!$A$5:$AC$164,15,0)*100</f>
        <v>1.5697996208229981</v>
      </c>
      <c r="AT52" s="83">
        <f>HLOOKUP(B52,'RTN-2.2'!$A$5:$AC$164,16,0)</f>
        <v>147041.58239194</v>
      </c>
      <c r="AU52" s="176">
        <f>HLOOKUP(B52,'RTN-2.2-A'!$A$5:$AC$164,16,0)*100</f>
        <v>1.2519813760269778</v>
      </c>
      <c r="AV52" s="84">
        <f>HLOOKUP(B52,'RTN-2.2'!$A$5:$AC$164,13,0)</f>
        <v>280437.58793703001</v>
      </c>
      <c r="AW52" s="176">
        <f>HLOOKUP(B52,'RTN-2.2-A'!$A$5:$AC$164,13,0)*100</f>
        <v>2.3877778756435286</v>
      </c>
      <c r="AX52" s="83"/>
      <c r="AY52" s="84"/>
      <c r="AZ52" s="85">
        <f>HLOOKUP(B52,'RTN-2.2'!$A$5:$AC$164,59,0)</f>
        <v>2204711.2935709367</v>
      </c>
      <c r="BA52" s="86">
        <f>HLOOKUP(B52,'RTN-2.2-A'!$A$5:$AC$164,59,0)*100</f>
        <v>18.771951676293039</v>
      </c>
      <c r="BB52" s="85"/>
      <c r="BC52" s="86"/>
      <c r="BD52" s="85"/>
      <c r="BE52" s="86"/>
      <c r="BF52" s="86"/>
      <c r="BG52" s="86"/>
      <c r="BH52" s="85"/>
      <c r="BI52" s="86"/>
      <c r="BJ52" s="86"/>
      <c r="BK52" s="86"/>
      <c r="BL52" s="85">
        <f>HLOOKUP(B52,'RTN-2.2'!$A$5:$AC$164,159,0)*(-1)</f>
        <v>855206.34790093999</v>
      </c>
      <c r="BM52" s="86">
        <f>HLOOKUP(B52,'RTN-2.2-A'!$A$5:$AC$164,159,0)*100*(-1)</f>
        <v>7.2816301539659918</v>
      </c>
      <c r="BN52" s="87">
        <f>HLOOKUP(B52,'RTN-2.2'!$A$5:$AC$164,151,0)</f>
        <v>-42923.691540566098</v>
      </c>
      <c r="BO52" s="87">
        <f>HLOOKUP(B52,'RTN-2.2-A'!$A$5:$AC$164,151,0)*100</f>
        <v>-0.36547255221908703</v>
      </c>
      <c r="BP52" s="92">
        <f>HLOOKUP(B52,'STN-RPF-Tabela 1'!$A$4:$M$73,64,0)*1000</f>
        <v>-47552.863840959981</v>
      </c>
      <c r="BQ52" s="92">
        <f>HLOOKUP(B52,'STN-RPF-Tabela 2'!$A$4:$M$73,64,0)</f>
        <v>-0.40488750826237013</v>
      </c>
      <c r="BR52" s="93">
        <f>'BCB-DBGG-anual'!B20</f>
        <v>8984236.5944496095</v>
      </c>
      <c r="BS52" s="93">
        <f>'BCB-DBGG-anual'!C20</f>
        <v>76.49602725363134</v>
      </c>
    </row>
    <row r="53" spans="1:71">
      <c r="A53" s="179" t="s">
        <v>60</v>
      </c>
      <c r="B53" s="31">
        <v>2025</v>
      </c>
      <c r="C53" s="90"/>
      <c r="D53" s="90"/>
      <c r="E53" s="90"/>
      <c r="F53" s="90"/>
      <c r="G53" s="91"/>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f>HLOOKUP(B53,'STN-RPF-Tabela 1'!$A$4:$M$73,2,0)*1000</f>
        <v>2929954.4538244675</v>
      </c>
      <c r="AK53" s="177">
        <f>HLOOKUP(B53,'STN-RPF-Tabela 2'!$A$4:$M$73,2,0)</f>
        <v>23.022474047348293</v>
      </c>
      <c r="AL53" s="90"/>
      <c r="AM53" s="90"/>
      <c r="AN53" s="90">
        <f>HLOOKUP(B53,'STN-RPF-Tabela 1'!$A$4:$M$73,3,0)*1000</f>
        <v>1878239.5382261416</v>
      </c>
      <c r="AO53" s="177">
        <f>HLOOKUP(B53,'STN-RPF-Tabela 2'!$A$4:$M$73,3,0)</f>
        <v>14.758495978349218</v>
      </c>
      <c r="AP53" s="90"/>
      <c r="AQ53" s="90"/>
      <c r="AR53" s="90">
        <f>HLOOKUP(B53,'STN-RPF-Tabela 1'!$A$4:$M$73,15,0)*1000</f>
        <v>203726.85096990128</v>
      </c>
      <c r="AS53" s="177">
        <f>HLOOKUP(B53,'STN-RPF-Tabela 2'!$A$4:$M$73,15,0)</f>
        <v>1.6008085494572466</v>
      </c>
      <c r="AT53" s="90">
        <f>HLOOKUP(B53,'STN-RPF-Tabela 1'!$A$4:$M$73,16,0)*1000</f>
        <v>163891.99372505769</v>
      </c>
      <c r="AU53" s="177">
        <f>HLOOKUP(B53,'STN-RPF-Tabela 2'!$A$4:$M$73,16,0)</f>
        <v>1.2878013059821307</v>
      </c>
      <c r="AV53" s="90">
        <f>HLOOKUP(B53,'STN-RPF-Tabela 1'!$A$4:$M$73,13,0)*1000</f>
        <v>316569.52745280397</v>
      </c>
      <c r="AW53" s="177">
        <f>HLOOKUP(B53,'STN-RPF-Tabela 2'!$A$4:$M$73,13,0)</f>
        <v>2.4874836263922782</v>
      </c>
      <c r="AX53" s="90"/>
      <c r="AY53" s="90"/>
      <c r="AZ53" s="90">
        <f>HLOOKUP(B53,'STN-RPF-Tabela 1'!$A$4:$M$73,48,0)*1000</f>
        <v>2394678.5503478162</v>
      </c>
      <c r="BA53" s="177">
        <f>HLOOKUP(B53,'STN-RPF-Tabela 2'!$A$4:$M$73,48,0)</f>
        <v>18.816478428584858</v>
      </c>
      <c r="BB53" s="90"/>
      <c r="BC53" s="90"/>
      <c r="BD53" s="90"/>
      <c r="BE53" s="90"/>
      <c r="BF53" s="90"/>
      <c r="BG53" s="90"/>
      <c r="BH53" s="90"/>
      <c r="BI53" s="90"/>
      <c r="BJ53" s="90"/>
      <c r="BK53" s="90"/>
      <c r="BL53" s="90">
        <f>HLOOKUP(B53,'STN-RPF-Tabela 1'!$A$4:$M$73,66,0)*1000</f>
        <v>1115333.437700189</v>
      </c>
      <c r="BM53" s="177">
        <f>HLOOKUP(B53,'STN-RPF-Tabela 2'!$A$4:$M$73,66,0)</f>
        <v>8.7638683564091675</v>
      </c>
      <c r="BN53" s="90">
        <f>HLOOKUP(B53,'STN-RPF-Tabela 1'!$A$4:$M$73,61,0)*1000</f>
        <v>-45323.068053315859</v>
      </c>
      <c r="BO53" s="177">
        <f>HLOOKUP(B53,'STN-RPF-Tabela 2'!$A$4:$M$73,61,0)</f>
        <v>-0.35613152847534923</v>
      </c>
      <c r="BP53" s="90">
        <f>HLOOKUP(B53,'STN-RPF-Tabela 1'!$A$4:$M$73,64,0)*1000</f>
        <v>-33191.48159539586</v>
      </c>
      <c r="BQ53" s="90">
        <f>HLOOKUP(B53,'STN-RPF-Tabela 2'!$A$4:$M$73,64,0)</f>
        <v>-0.2608061100149851</v>
      </c>
      <c r="BR53" s="90">
        <f>'BCB-DBGG-anual'!B21</f>
        <v>10122813.29860734</v>
      </c>
      <c r="BS53" s="90">
        <f>'BCB-DBGG-anual'!C21</f>
        <v>78.970213761844164</v>
      </c>
    </row>
    <row r="54" spans="1:71">
      <c r="A54" s="179"/>
      <c r="B54" s="31">
        <v>2026</v>
      </c>
      <c r="C54" s="90"/>
      <c r="D54" s="90"/>
      <c r="E54" s="90"/>
      <c r="F54" s="90"/>
      <c r="G54" s="91"/>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f>HLOOKUP(B54,'STN-RPF-Tabela 1'!$A$4:$M$73,2,0)*1000</f>
        <v>3198282.1628329307</v>
      </c>
      <c r="AK54" s="177">
        <f>HLOOKUP(B54,'STN-RPF-Tabela 2'!$A$4:$M$73,2,0)</f>
        <v>23.317380711510452</v>
      </c>
      <c r="AL54" s="90"/>
      <c r="AM54" s="90"/>
      <c r="AN54" s="90">
        <f>HLOOKUP(B54,'STN-RPF-Tabela 1'!$A$4:$M$73,3,0)*1000</f>
        <v>2045282.9933675891</v>
      </c>
      <c r="AO54" s="177">
        <f>HLOOKUP(B54,'STN-RPF-Tabela 2'!$A$4:$M$73,3,0)</f>
        <v>14.91133045524883</v>
      </c>
      <c r="AP54" s="90"/>
      <c r="AQ54" s="90"/>
      <c r="AR54" s="90">
        <f>HLOOKUP(B54,'STN-RPF-Tabela 1'!$A$4:$M$73,15,0)*1000</f>
        <v>223519.04512701082</v>
      </c>
      <c r="AS54" s="177">
        <f>HLOOKUP(B54,'STN-RPF-Tabela 2'!$A$4:$M$73,15,0)</f>
        <v>1.6295868863813097</v>
      </c>
      <c r="AT54" s="90">
        <f>HLOOKUP(B54,'STN-RPF-Tabela 1'!$A$4:$M$73,16,0)*1000</f>
        <v>185903.19895171141</v>
      </c>
      <c r="AU54" s="177">
        <f>HLOOKUP(B54,'STN-RPF-Tabela 2'!$A$4:$M$73,16,0)</f>
        <v>1.3553449773190516</v>
      </c>
      <c r="AV54" s="90">
        <f>HLOOKUP(B54,'STN-RPF-Tabela 1'!$A$4:$M$73,13,0)*1000</f>
        <v>335574.31058866513</v>
      </c>
      <c r="AW54" s="177">
        <f>HLOOKUP(B54,'STN-RPF-Tabela 2'!$A$4:$M$73,13,0)</f>
        <v>2.4465364713373781</v>
      </c>
      <c r="AX54" s="90"/>
      <c r="AY54" s="90"/>
      <c r="AZ54" s="90">
        <f>HLOOKUP(B54,'STN-RPF-Tabela 1'!$A$4:$M$73,48,0)*1000</f>
        <v>2601442.2224874208</v>
      </c>
      <c r="BA54" s="177">
        <f>HLOOKUP(B54,'STN-RPF-Tabela 2'!$A$4:$M$73,48,0)</f>
        <v>18.96606228357523</v>
      </c>
      <c r="BB54" s="90"/>
      <c r="BC54" s="90"/>
      <c r="BD54" s="90"/>
      <c r="BE54" s="90"/>
      <c r="BF54" s="90"/>
      <c r="BG54" s="90"/>
      <c r="BH54" s="90"/>
      <c r="BI54" s="90"/>
      <c r="BJ54" s="90"/>
      <c r="BK54" s="90"/>
      <c r="BL54" s="90">
        <f>HLOOKUP(B54,'STN-RPF-Tabela 1'!$A$4:$M$73,66,0)*1000</f>
        <v>1143546.8902036222</v>
      </c>
      <c r="BM54" s="177">
        <f>HLOOKUP(B54,'STN-RPF-Tabela 2'!$A$4:$M$73,66,0)</f>
        <v>8.3371375140719799</v>
      </c>
      <c r="BN54" s="90">
        <f>HLOOKUP(B54,'STN-RPF-Tabela 1'!$A$4:$M$73,61,0)*1000</f>
        <v>-26471.266377777793</v>
      </c>
      <c r="BO54" s="177">
        <f>HLOOKUP(B54,'STN-RPF-Tabela 2'!$A$4:$M$73,61,0)</f>
        <v>-0.19299128864218784</v>
      </c>
      <c r="BP54" s="90">
        <f>HLOOKUP(B54,'STN-RPF-Tabela 1'!$A$4:$M$73,64,0)*1000</f>
        <v>-32056.403178302142</v>
      </c>
      <c r="BQ54" s="90">
        <f>HLOOKUP(B54,'STN-RPF-Tabela 2'!$A$4:$M$73,64,0)</f>
        <v>-0.23371026041306486</v>
      </c>
      <c r="BR54" s="90">
        <f>'BCB-DBGG-anual'!B22</f>
        <v>11406904.12059667</v>
      </c>
      <c r="BS54" s="90">
        <f>'BCB-DBGG-anual'!C22</f>
        <v>82.501528885091986</v>
      </c>
    </row>
    <row r="55" spans="1:71">
      <c r="A55" s="179"/>
      <c r="B55" s="31">
        <v>2027</v>
      </c>
      <c r="C55" s="90"/>
      <c r="D55" s="90"/>
      <c r="E55" s="90"/>
      <c r="F55" s="90"/>
      <c r="G55" s="91"/>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f>HLOOKUP(B55,'STN-RPF-Tabela 1'!$A$4:$M$73,2,0)*1000</f>
        <v>3419593.9065410849</v>
      </c>
      <c r="AK55" s="177">
        <f>HLOOKUP(B55,'STN-RPF-Tabela 2'!$A$4:$M$73,2,0)</f>
        <v>23.196804035673729</v>
      </c>
      <c r="AL55" s="90"/>
      <c r="AM55" s="90"/>
      <c r="AN55" s="90">
        <f>HLOOKUP(B55,'STN-RPF-Tabela 1'!$A$4:$M$73,3,0)*1000</f>
        <v>2163118.4539097575</v>
      </c>
      <c r="AO55" s="177">
        <f>HLOOKUP(B55,'STN-RPF-Tabela 2'!$A$4:$M$73,3,0)</f>
        <v>14.673506928794538</v>
      </c>
      <c r="AP55" s="90"/>
      <c r="AQ55" s="90"/>
      <c r="AR55" s="90">
        <f>HLOOKUP(B55,'STN-RPF-Tabela 1'!$A$4:$M$73,15,0)*1000</f>
        <v>240518.11964018567</v>
      </c>
      <c r="AS55" s="177">
        <f>HLOOKUP(B55,'STN-RPF-Tabela 2'!$A$4:$M$73,15,0)</f>
        <v>1.6315538747598022</v>
      </c>
      <c r="AT55" s="90">
        <f>HLOOKUP(B55,'STN-RPF-Tabela 1'!$A$4:$M$73,16,0)*1000</f>
        <v>173389.52017156768</v>
      </c>
      <c r="AU55" s="177">
        <f>HLOOKUP(B55,'STN-RPF-Tabela 2'!$A$4:$M$73,16,0)</f>
        <v>1.1761872407030005</v>
      </c>
      <c r="AV55" s="90">
        <f>HLOOKUP(B55,'STN-RPF-Tabela 1'!$A$4:$M$73,13,0)*1000</f>
        <v>357423.02876908786</v>
      </c>
      <c r="AW55" s="177">
        <f>HLOOKUP(B55,'STN-RPF-Tabela 2'!$A$4:$M$73,13,0)</f>
        <v>2.4245779419404552</v>
      </c>
      <c r="AX55" s="90"/>
      <c r="AY55" s="90"/>
      <c r="AZ55" s="90">
        <f>HLOOKUP(B55,'STN-RPF-Tabela 1'!$A$4:$M$73,48,0)*1000</f>
        <v>2696219.249878176</v>
      </c>
      <c r="BA55" s="177">
        <f>HLOOKUP(B55,'STN-RPF-Tabela 2'!$A$4:$M$73,48,0)</f>
        <v>18.289794427636618</v>
      </c>
      <c r="BB55" s="90"/>
      <c r="BC55" s="90"/>
      <c r="BD55" s="90"/>
      <c r="BE55" s="90"/>
      <c r="BF55" s="90"/>
      <c r="BG55" s="90"/>
      <c r="BH55" s="90"/>
      <c r="BI55" s="90"/>
      <c r="BJ55" s="90"/>
      <c r="BK55" s="90"/>
      <c r="BL55" s="90">
        <f>HLOOKUP(B55,'STN-RPF-Tabela 1'!$A$4:$M$73,66,0)*1000</f>
        <v>1100961.4858790932</v>
      </c>
      <c r="BM55" s="177">
        <f>HLOOKUP(B55,'STN-RPF-Tabela 2'!$A$4:$M$73,66,0)</f>
        <v>7.4683686240960556</v>
      </c>
      <c r="BN55" s="90">
        <f>HLOOKUP(B55,'STN-RPF-Tabela 1'!$A$4:$M$73,61,0)*1000</f>
        <v>73708.29837770341</v>
      </c>
      <c r="BO55" s="177">
        <f>HLOOKUP(B55,'STN-RPF-Tabela 2'!$A$4:$M$73,61,0)</f>
        <v>0.50000000000000344</v>
      </c>
      <c r="BP55" s="90">
        <f>HLOOKUP(B55,'STN-RPF-Tabela 1'!$A$4:$M$73,64,0)*1000</f>
        <v>67835.18472509479</v>
      </c>
      <c r="BQ55" s="90">
        <f>HLOOKUP(B55,'STN-RPF-Tabela 2'!$A$4:$M$73,64,0)</f>
        <v>0.46015975282380978</v>
      </c>
      <c r="BR55" s="90">
        <f>'BCB-DBGG-anual'!B23</f>
        <v>12503855.197309956</v>
      </c>
      <c r="BS55" s="90">
        <f>'BCB-DBGG-anual'!C23</f>
        <v>83.932155270481914</v>
      </c>
    </row>
    <row r="56" spans="1:71">
      <c r="A56" s="179"/>
      <c r="B56" s="31">
        <v>2028</v>
      </c>
      <c r="C56" s="90"/>
      <c r="D56" s="90"/>
      <c r="E56" s="90"/>
      <c r="F56" s="90"/>
      <c r="G56" s="91"/>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f>HLOOKUP(B56,'STN-RPF-Tabela 1'!$A$4:$M$73,2,0)*1000</f>
        <v>3680509.3914196375</v>
      </c>
      <c r="AK56" s="177">
        <f>HLOOKUP(B56,'STN-RPF-Tabela 2'!$A$4:$M$73,2,0)</f>
        <v>23.276339971962216</v>
      </c>
      <c r="AL56" s="90"/>
      <c r="AM56" s="90"/>
      <c r="AN56" s="90">
        <f>HLOOKUP(B56,'STN-RPF-Tabela 1'!$A$4:$M$73,3,0)*1000</f>
        <v>2273043.8192773433</v>
      </c>
      <c r="AO56" s="177">
        <f>HLOOKUP(B56,'STN-RPF-Tabela 2'!$A$4:$M$73,3,0)</f>
        <v>14.375222308089066</v>
      </c>
      <c r="AP56" s="90"/>
      <c r="AQ56" s="90"/>
      <c r="AR56" s="90">
        <f>HLOOKUP(B56,'STN-RPF-Tabela 1'!$A$4:$M$73,15,0)*1000</f>
        <v>257843.43903989441</v>
      </c>
      <c r="AS56" s="177">
        <f>HLOOKUP(B56,'STN-RPF-Tabela 2'!$A$4:$M$73,15,0)</f>
        <v>1.6306578542155423</v>
      </c>
      <c r="AT56" s="90">
        <f>HLOOKUP(B56,'STN-RPF-Tabela 1'!$A$4:$M$73,16,0)*1000</f>
        <v>163276.44352903913</v>
      </c>
      <c r="AU56" s="177">
        <f>HLOOKUP(B56,'STN-RPF-Tabela 2'!$A$4:$M$73,16,0)</f>
        <v>1.032595655877105</v>
      </c>
      <c r="AV56" s="90">
        <f>HLOOKUP(B56,'STN-RPF-Tabela 1'!$A$4:$M$73,13,0)*1000</f>
        <v>378645.7159633619</v>
      </c>
      <c r="AW56" s="177">
        <f>HLOOKUP(B56,'STN-RPF-Tabela 2'!$A$4:$M$73,13,0)</f>
        <v>2.3946376646224872</v>
      </c>
      <c r="AX56" s="90"/>
      <c r="AY56" s="90"/>
      <c r="AZ56" s="90">
        <f>HLOOKUP(B56,'STN-RPF-Tabela 1'!$A$4:$M$73,48,0)*1000</f>
        <v>2847175.4168292149</v>
      </c>
      <c r="BA56" s="177">
        <f>HLOOKUP(B56,'STN-RPF-Tabela 2'!$A$4:$M$73,48,0)</f>
        <v>18.006155103537949</v>
      </c>
      <c r="BB56" s="90"/>
      <c r="BC56" s="90"/>
      <c r="BD56" s="90"/>
      <c r="BE56" s="90"/>
      <c r="BF56" s="90"/>
      <c r="BG56" s="90"/>
      <c r="BH56" s="90"/>
      <c r="BI56" s="90"/>
      <c r="BJ56" s="90"/>
      <c r="BK56" s="90"/>
      <c r="BL56" s="90">
        <f>HLOOKUP(B56,'STN-RPF-Tabela 1'!$A$4:$M$73,66,0)*1000</f>
        <v>1032741.4532623198</v>
      </c>
      <c r="BM56" s="177">
        <f>HLOOKUP(B56,'STN-RPF-Tabela 2'!$A$4:$M$73,66,0)</f>
        <v>6.5312810300967694</v>
      </c>
      <c r="BN56" s="90">
        <f>HLOOKUP(B56,'STN-RPF-Tabela 1'!$A$4:$M$73,61,0)*1000</f>
        <v>158122.34208011394</v>
      </c>
      <c r="BO56" s="177">
        <f>HLOOKUP(B56,'STN-RPF-Tabela 2'!$A$4:$M$73,61,0)</f>
        <v>1.0000000000000007</v>
      </c>
      <c r="BP56" s="90">
        <f>HLOOKUP(B56,'STN-RPF-Tabela 1'!$A$4:$M$73,64,0)*1000</f>
        <v>152601.47117744669</v>
      </c>
      <c r="BQ56" s="90">
        <f>HLOOKUP(B56,'STN-RPF-Tabela 2'!$A$4:$M$73,64,0)</f>
        <v>0.9650848145174199</v>
      </c>
      <c r="BR56" s="90">
        <f>'BCB-DBGG-anual'!B24</f>
        <v>13467206.811210649</v>
      </c>
      <c r="BS56" s="90">
        <f>'BCB-DBGG-anual'!C24</f>
        <v>84.160737746213471</v>
      </c>
    </row>
    <row r="57" spans="1:71">
      <c r="A57" s="179"/>
      <c r="B57" s="31">
        <v>2029</v>
      </c>
      <c r="C57" s="90"/>
      <c r="D57" s="90"/>
      <c r="E57" s="90"/>
      <c r="F57" s="90"/>
      <c r="G57" s="91"/>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f>HLOOKUP(B57,'STN-RPF-Tabela 1'!$A$4:$M$73,2,0)*1000</f>
        <v>3952236.9014247176</v>
      </c>
      <c r="AK57" s="177">
        <f>HLOOKUP(B57,'STN-RPF-Tabela 2'!$A$4:$M$73,2,0)</f>
        <v>23.297793421541989</v>
      </c>
      <c r="AL57" s="90"/>
      <c r="AM57" s="90"/>
      <c r="AN57" s="90">
        <f>HLOOKUP(B57,'STN-RPF-Tabela 1'!$A$4:$M$73,3,0)*1000</f>
        <v>2418267.1496145362</v>
      </c>
      <c r="AO57" s="177">
        <f>HLOOKUP(B57,'STN-RPF-Tabela 2'!$A$4:$M$73,3,0)</f>
        <v>14.25529134387437</v>
      </c>
      <c r="AP57" s="90"/>
      <c r="AQ57" s="90"/>
      <c r="AR57" s="90">
        <f>HLOOKUP(B57,'STN-RPF-Tabela 1'!$A$4:$M$73,15,0)*1000</f>
        <v>275870.37589357723</v>
      </c>
      <c r="AS57" s="177">
        <f>HLOOKUP(B57,'STN-RPF-Tabela 2'!$A$4:$M$73,15,0)</f>
        <v>1.6262109759601731</v>
      </c>
      <c r="AT57" s="90">
        <f>HLOOKUP(B57,'STN-RPF-Tabela 1'!$A$4:$M$73,16,0)*1000</f>
        <v>162504.1017042434</v>
      </c>
      <c r="AU57" s="177">
        <f>HLOOKUP(B57,'STN-RPF-Tabela 2'!$A$4:$M$73,16,0)</f>
        <v>0.95793523669948155</v>
      </c>
      <c r="AV57" s="90">
        <f>HLOOKUP(B57,'STN-RPF-Tabela 1'!$A$4:$M$73,13,0)*1000</f>
        <v>406236.25077478326</v>
      </c>
      <c r="AW57" s="177">
        <f>HLOOKUP(B57,'STN-RPF-Tabela 2'!$A$4:$M$73,13,0)</f>
        <v>2.3946965951056378</v>
      </c>
      <c r="AX57" s="90"/>
      <c r="AY57" s="90"/>
      <c r="AZ57" s="90">
        <f>HLOOKUP(B57,'STN-RPF-Tabela 1'!$A$4:$M$73,48,0)*1000</f>
        <v>3027550.0076736375</v>
      </c>
      <c r="BA57" s="177">
        <f>HLOOKUP(B57,'STN-RPF-Tabela 2'!$A$4:$M$73,48,0)</f>
        <v>17.846914648952712</v>
      </c>
      <c r="BB57" s="90"/>
      <c r="BC57" s="90"/>
      <c r="BD57" s="90"/>
      <c r="BE57" s="90"/>
      <c r="BF57" s="90"/>
      <c r="BG57" s="90"/>
      <c r="BH57" s="90"/>
      <c r="BI57" s="90"/>
      <c r="BJ57" s="90"/>
      <c r="BK57" s="90"/>
      <c r="BL57" s="90">
        <f>HLOOKUP(B57,'STN-RPF-Tabela 1'!$A$4:$M$73,66,0)*1000</f>
        <v>1049531.9071445174</v>
      </c>
      <c r="BM57" s="177">
        <f>HLOOKUP(B57,'STN-RPF-Tabela 2'!$A$4:$M$73,66,0)</f>
        <v>6.1868198116250284</v>
      </c>
      <c r="BN57" s="90">
        <f>HLOOKUP(B57,'STN-RPF-Tabela 1'!$A$4:$M$73,61,0)*1000</f>
        <v>212049.9584399662</v>
      </c>
      <c r="BO57" s="177">
        <f>HLOOKUP(B57,'STN-RPF-Tabela 2'!$A$4:$M$73,61,0)</f>
        <v>1.2499999999999998</v>
      </c>
      <c r="BP57" s="90">
        <f>HLOOKUP(B57,'STN-RPF-Tabela 1'!$A$4:$M$73,64,0)*1000</f>
        <v>206871.64410486925</v>
      </c>
      <c r="BQ57" s="90">
        <f>HLOOKUP(B57,'STN-RPF-Tabela 2'!$A$4:$M$73,64,0)</f>
        <v>1.2194746796156353</v>
      </c>
      <c r="BR57" s="90">
        <f>'BCB-DBGG-anual'!B25</f>
        <v>14403310.619469864</v>
      </c>
      <c r="BS57" s="90">
        <f>'BCB-DBGG-anual'!C25</f>
        <v>83.788093075031185</v>
      </c>
    </row>
    <row r="58" spans="1:71">
      <c r="A58" s="179"/>
      <c r="B58" s="31">
        <v>2030</v>
      </c>
      <c r="C58" s="90"/>
      <c r="D58" s="90"/>
      <c r="E58" s="90"/>
      <c r="F58" s="90"/>
      <c r="G58" s="91"/>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f>HLOOKUP(B58,'STN-RPF-Tabela 1'!$A$4:$M$73,2,0)*1000</f>
        <v>4219707.2905958015</v>
      </c>
      <c r="AK58" s="177">
        <f>HLOOKUP(B58,'STN-RPF-Tabela 2'!$A$4:$M$73,2,0)</f>
        <v>23.226412452772717</v>
      </c>
      <c r="AL58" s="90"/>
      <c r="AM58" s="90"/>
      <c r="AN58" s="90">
        <f>HLOOKUP(B58,'STN-RPF-Tabela 1'!$A$4:$M$73,3,0)*1000</f>
        <v>2590031.985594043</v>
      </c>
      <c r="AO58" s="177">
        <f>HLOOKUP(B58,'STN-RPF-Tabela 2'!$A$4:$M$73,3,0)</f>
        <v>14.256237937960677</v>
      </c>
      <c r="AP58" s="90"/>
      <c r="AQ58" s="90"/>
      <c r="AR58" s="90">
        <f>HLOOKUP(B58,'STN-RPF-Tabela 1'!$A$4:$M$73,15,0)*1000</f>
        <v>294925.3207337287</v>
      </c>
      <c r="AS58" s="177">
        <f>HLOOKUP(B58,'STN-RPF-Tabela 2'!$A$4:$M$73,15,0)</f>
        <v>1.6233488890080501</v>
      </c>
      <c r="AT58" s="90">
        <f>HLOOKUP(B58,'STN-RPF-Tabela 1'!$A$4:$M$73,16,0)*1000</f>
        <v>171772.62182539792</v>
      </c>
      <c r="AU58" s="177">
        <f>HLOOKUP(B58,'STN-RPF-Tabela 2'!$A$4:$M$73,16,0)</f>
        <v>0.94548306028296114</v>
      </c>
      <c r="AV58" s="90">
        <f>HLOOKUP(B58,'STN-RPF-Tabela 1'!$A$4:$M$73,13,0)*1000</f>
        <v>443627.18014336779</v>
      </c>
      <c r="AW58" s="177">
        <f>HLOOKUP(B58,'STN-RPF-Tabela 2'!$A$4:$M$73,13,0)</f>
        <v>2.4418442208619426</v>
      </c>
      <c r="AX58" s="90"/>
      <c r="AY58" s="90"/>
      <c r="AZ58" s="90">
        <f>HLOOKUP(B58,'STN-RPF-Tabela 1'!$A$4:$M$73,48,0)*1000</f>
        <v>3234632.0389521141</v>
      </c>
      <c r="BA58" s="177">
        <f>HLOOKUP(B58,'STN-RPF-Tabela 2'!$A$4:$M$73,48,0)</f>
        <v>17.804291315914277</v>
      </c>
      <c r="BB58" s="90"/>
      <c r="BC58" s="90"/>
      <c r="BD58" s="90"/>
      <c r="BE58" s="90"/>
      <c r="BF58" s="90"/>
      <c r="BG58" s="90"/>
      <c r="BH58" s="90"/>
      <c r="BI58" s="90"/>
      <c r="BJ58" s="90"/>
      <c r="BK58" s="90"/>
      <c r="BL58" s="90">
        <f>HLOOKUP(B58,'STN-RPF-Tabela 1'!$A$4:$M$73,66,0)*1000</f>
        <v>1098773.2468255854</v>
      </c>
      <c r="BM58" s="177">
        <f>HLOOKUP(B58,'STN-RPF-Tabela 2'!$A$4:$M$73,66,0)</f>
        <v>6.0479457140829105</v>
      </c>
      <c r="BN58" s="90">
        <f>HLOOKUP(B58,'STN-RPF-Tabela 1'!$A$4:$M$73,61,0)*1000</f>
        <v>227096.37676373357</v>
      </c>
      <c r="BO58" s="177">
        <f>HLOOKUP(B58,'STN-RPF-Tabela 2'!$A$4:$M$73,61,0)</f>
        <v>1.2499999999999987</v>
      </c>
      <c r="BP58" s="90">
        <f>HLOOKUP(B58,'STN-RPF-Tabela 1'!$A$4:$M$73,64,0)*1000</f>
        <v>222271.50127717879</v>
      </c>
      <c r="BQ58" s="90">
        <f>HLOOKUP(B58,'STN-RPF-Tabela 2'!$A$4:$M$73,64,0)</f>
        <v>1.2234425777982869</v>
      </c>
      <c r="BR58" s="90">
        <f>'BCB-DBGG-anual'!B26</f>
        <v>15370313.333305173</v>
      </c>
      <c r="BS58" s="90">
        <f>'BCB-DBGG-anual'!C26</f>
        <v>83.404022891613081</v>
      </c>
    </row>
    <row r="59" spans="1:71">
      <c r="A59" s="179"/>
      <c r="B59" s="31">
        <v>2031</v>
      </c>
      <c r="C59" s="90"/>
      <c r="D59" s="90"/>
      <c r="E59" s="90"/>
      <c r="F59" s="90"/>
      <c r="G59" s="91"/>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f>HLOOKUP(B59,'STN-RPF-Tabela 1'!$A$4:$M$73,2,0)*1000</f>
        <v>4510938.0351098944</v>
      </c>
      <c r="AK59" s="177">
        <f>HLOOKUP(B59,'STN-RPF-Tabela 2'!$A$4:$M$73,2,0)</f>
        <v>23.208584746869331</v>
      </c>
      <c r="AL59" s="90"/>
      <c r="AM59" s="90"/>
      <c r="AN59" s="90">
        <f>HLOOKUP(B59,'STN-RPF-Tabela 1'!$A$4:$M$73,3,0)*1000</f>
        <v>2790520.5439770361</v>
      </c>
      <c r="AO59" s="177">
        <f>HLOOKUP(B59,'STN-RPF-Tabela 2'!$A$4:$M$73,3,0)</f>
        <v>14.357109769341619</v>
      </c>
      <c r="AP59" s="90"/>
      <c r="AQ59" s="90"/>
      <c r="AR59" s="90">
        <f>HLOOKUP(B59,'STN-RPF-Tabela 1'!$A$4:$M$73,15,0)*1000</f>
        <v>314984.93027413869</v>
      </c>
      <c r="AS59" s="177">
        <f>HLOOKUP(B59,'STN-RPF-Tabela 2'!$A$4:$M$73,15,0)</f>
        <v>1.6205840983306665</v>
      </c>
      <c r="AT59" s="90">
        <f>HLOOKUP(B59,'STN-RPF-Tabela 1'!$A$4:$M$73,16,0)*1000</f>
        <v>183077.97270913151</v>
      </c>
      <c r="AU59" s="177">
        <f>HLOOKUP(B59,'STN-RPF-Tabela 2'!$A$4:$M$73,16,0)</f>
        <v>0.94192839977714227</v>
      </c>
      <c r="AV59" s="90">
        <f>HLOOKUP(B59,'STN-RPF-Tabela 1'!$A$4:$M$73,13,0)*1000</f>
        <v>471380.04480874701</v>
      </c>
      <c r="AW59" s="177">
        <f>HLOOKUP(B59,'STN-RPF-Tabela 2'!$A$4:$M$73,13,0)</f>
        <v>2.4252303252177905</v>
      </c>
      <c r="AX59" s="90"/>
      <c r="AY59" s="90"/>
      <c r="AZ59" s="90">
        <f>HLOOKUP(B59,'STN-RPF-Tabela 1'!$A$4:$M$73,48,0)*1000</f>
        <v>3451643.3128947541</v>
      </c>
      <c r="BA59" s="177">
        <f>HLOOKUP(B59,'STN-RPF-Tabela 2'!$A$4:$M$73,48,0)</f>
        <v>17.758558357437327</v>
      </c>
      <c r="BB59" s="90"/>
      <c r="BC59" s="90"/>
      <c r="BD59" s="90"/>
      <c r="BE59" s="90"/>
      <c r="BF59" s="90"/>
      <c r="BG59" s="90"/>
      <c r="BH59" s="90"/>
      <c r="BI59" s="90"/>
      <c r="BJ59" s="90"/>
      <c r="BK59" s="90"/>
      <c r="BL59" s="90">
        <f>HLOOKUP(B59,'STN-RPF-Tabela 1'!$A$4:$M$73,66,0)*1000</f>
        <v>1154702.4599444021</v>
      </c>
      <c r="BM59" s="177">
        <f>HLOOKUP(B59,'STN-RPF-Tabela 2'!$A$4:$M$73,66,0)</f>
        <v>5.940895150953958</v>
      </c>
      <c r="BN59" s="90">
        <f>HLOOKUP(B59,'STN-RPF-Tabela 1'!$A$4:$M$73,61,0)*1000</f>
        <v>242956.32867695577</v>
      </c>
      <c r="BO59" s="177">
        <f>HLOOKUP(B59,'STN-RPF-Tabela 2'!$A$4:$M$73,61,0)</f>
        <v>1.25</v>
      </c>
      <c r="BP59" s="90">
        <f>HLOOKUP(B59,'STN-RPF-Tabela 1'!$A$4:$M$73,64,0)*1000</f>
        <v>238074.95614105251</v>
      </c>
      <c r="BQ59" s="90">
        <f>HLOOKUP(B59,'STN-RPF-Tabela 2'!$A$4:$M$73,64,0)</f>
        <v>1.224885545467753</v>
      </c>
      <c r="BR59" s="90">
        <f>'BCB-DBGG-anual'!B27</f>
        <v>16396929.150540436</v>
      </c>
      <c r="BS59" s="90">
        <f>'BCB-DBGG-anual'!C27</f>
        <v>83.102751470918236</v>
      </c>
    </row>
    <row r="60" spans="1:71">
      <c r="A60" s="179"/>
      <c r="B60" s="31">
        <v>2032</v>
      </c>
      <c r="C60" s="90"/>
      <c r="D60" s="90"/>
      <c r="E60" s="90"/>
      <c r="F60" s="90"/>
      <c r="G60" s="91"/>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f>HLOOKUP(B60,'STN-RPF-Tabela 1'!$A$4:$M$73,2,0)*1000</f>
        <v>4807327.0398007324</v>
      </c>
      <c r="AK60" s="177">
        <f>HLOOKUP(B60,'STN-RPF-Tabela 2'!$A$4:$M$73,2,0)</f>
        <v>23.130912129235305</v>
      </c>
      <c r="AL60" s="90"/>
      <c r="AM60" s="90"/>
      <c r="AN60" s="90">
        <f>HLOOKUP(B60,'STN-RPF-Tabela 1'!$A$4:$M$73,3,0)*1000</f>
        <v>2963964.2960635656</v>
      </c>
      <c r="AO60" s="177">
        <f>HLOOKUP(B60,'STN-RPF-Tabela 2'!$A$4:$M$73,3,0)</f>
        <v>14.261396638677393</v>
      </c>
      <c r="AP60" s="90"/>
      <c r="AQ60" s="90"/>
      <c r="AR60" s="90">
        <f>HLOOKUP(B60,'STN-RPF-Tabela 1'!$A$4:$M$73,15,0)*1000</f>
        <v>336888.93951798847</v>
      </c>
      <c r="AS60" s="177">
        <f>HLOOKUP(B60,'STN-RPF-Tabela 2'!$A$4:$M$73,15,0)</f>
        <v>1.6209732337296665</v>
      </c>
      <c r="AT60" s="90">
        <f>HLOOKUP(B60,'STN-RPF-Tabela 1'!$A$4:$M$73,16,0)*1000</f>
        <v>197259.16603541587</v>
      </c>
      <c r="AU60" s="177">
        <f>HLOOKUP(B60,'STN-RPF-Tabela 2'!$A$4:$M$73,16,0)</f>
        <v>0.94913127367356576</v>
      </c>
      <c r="AV60" s="90">
        <f>HLOOKUP(B60,'STN-RPF-Tabela 1'!$A$4:$M$73,13,0)*1000</f>
        <v>500758.78637730959</v>
      </c>
      <c r="AW60" s="177">
        <f>HLOOKUP(B60,'STN-RPF-Tabela 2'!$A$4:$M$73,13,0)</f>
        <v>2.4094486166092386</v>
      </c>
      <c r="AX60" s="90"/>
      <c r="AY60" s="90"/>
      <c r="AZ60" s="90">
        <f>HLOOKUP(B60,'STN-RPF-Tabela 1'!$A$4:$M$73,48,0)*1000</f>
        <v>3683744.9430025257</v>
      </c>
      <c r="BA60" s="177">
        <f>HLOOKUP(B60,'STN-RPF-Tabela 2'!$A$4:$M$73,48,0)</f>
        <v>17.724689807381669</v>
      </c>
      <c r="BB60" s="90"/>
      <c r="BC60" s="90"/>
      <c r="BD60" s="90"/>
      <c r="BE60" s="90"/>
      <c r="BF60" s="90"/>
      <c r="BG60" s="90"/>
      <c r="BH60" s="90"/>
      <c r="BI60" s="90"/>
      <c r="BJ60" s="90"/>
      <c r="BK60" s="90"/>
      <c r="BL60" s="90">
        <f>HLOOKUP(B60,'STN-RPF-Tabela 1'!$A$4:$M$73,66,0)*1000</f>
        <v>1228168.5238290152</v>
      </c>
      <c r="BM60" s="177">
        <f>HLOOKUP(B60,'STN-RPF-Tabela 2'!$A$4:$M$73,66,0)</f>
        <v>5.9094498812710583</v>
      </c>
      <c r="BN60" s="90">
        <f>HLOOKUP(B60,'STN-RPF-Tabela 1'!$A$4:$M$73,61,0)*1000</f>
        <v>259789.09807693679</v>
      </c>
      <c r="BO60" s="177">
        <f>HLOOKUP(B60,'STN-RPF-Tabela 2'!$A$4:$M$73,61,0)</f>
        <v>1.2500000000000004</v>
      </c>
      <c r="BP60" s="90">
        <f>HLOOKUP(B60,'STN-RPF-Tabela 1'!$A$4:$M$73,64,0)*1000</f>
        <v>254522.07545763699</v>
      </c>
      <c r="BQ60" s="90">
        <f>HLOOKUP(B60,'STN-RPF-Tabela 2'!$A$4:$M$73,64,0)</f>
        <v>1.2246572187868527</v>
      </c>
      <c r="BR60" s="90">
        <f>'BCB-DBGG-anual'!B28</f>
        <v>17486730.60463145</v>
      </c>
      <c r="BS60" s="90">
        <f>'BCB-DBGG-anual'!C28</f>
        <v>82.835864760043947</v>
      </c>
    </row>
    <row r="61" spans="1:71">
      <c r="A61" s="179"/>
      <c r="B61" s="31">
        <v>2033</v>
      </c>
      <c r="C61" s="90"/>
      <c r="D61" s="90"/>
      <c r="E61" s="90"/>
      <c r="F61" s="90"/>
      <c r="G61" s="91"/>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f>HLOOKUP(B61,'STN-RPF-Tabela 1'!$A$4:$M$73,2,0)*1000</f>
        <v>5010885.8051279932</v>
      </c>
      <c r="AK61" s="177">
        <f>HLOOKUP(B61,'STN-RPF-Tabela 2'!$A$4:$M$73,2,0)</f>
        <v>22.55038128215849</v>
      </c>
      <c r="AL61" s="90"/>
      <c r="AM61" s="90"/>
      <c r="AN61" s="90">
        <f>HLOOKUP(B61,'STN-RPF-Tabela 1'!$A$4:$M$73,3,0)*1000</f>
        <v>3155936.2890458945</v>
      </c>
      <c r="AO61" s="177">
        <f>HLOOKUP(B61,'STN-RPF-Tabela 2'!$A$4:$M$73,3,0)</f>
        <v>14.202591994284617</v>
      </c>
      <c r="AP61" s="90"/>
      <c r="AQ61" s="90"/>
      <c r="AR61" s="90">
        <f>HLOOKUP(B61,'STN-RPF-Tabela 1'!$A$4:$M$73,15,0)*1000</f>
        <v>360612.98860935948</v>
      </c>
      <c r="AS61" s="177">
        <f>HLOOKUP(B61,'STN-RPF-Tabela 2'!$A$4:$M$73,15,0)</f>
        <v>1.6228588526439223</v>
      </c>
      <c r="AT61" s="90">
        <f>HLOOKUP(B61,'STN-RPF-Tabela 1'!$A$4:$M$73,16,0)*1000</f>
        <v>212545.6551731067</v>
      </c>
      <c r="AU61" s="177">
        <f>HLOOKUP(B61,'STN-RPF-Tabela 2'!$A$4:$M$73,16,0)</f>
        <v>0.95651462643884977</v>
      </c>
      <c r="AV61" s="90">
        <f>HLOOKUP(B61,'STN-RPF-Tabela 1'!$A$4:$M$73,13,0)*1000</f>
        <v>532133.90593954246</v>
      </c>
      <c r="AW61" s="177">
        <f>HLOOKUP(B61,'STN-RPF-Tabela 2'!$A$4:$M$73,13,0)</f>
        <v>2.394750736450765</v>
      </c>
      <c r="AX61" s="90"/>
      <c r="AY61" s="90"/>
      <c r="AZ61" s="90">
        <f>HLOOKUP(B61,'STN-RPF-Tabela 1'!$A$4:$M$73,48,0)*1000</f>
        <v>3817539.806766727</v>
      </c>
      <c r="BA61" s="177">
        <f>HLOOKUP(B61,'STN-RPF-Tabela 2'!$A$4:$M$73,48,0)</f>
        <v>17.179992031410585</v>
      </c>
      <c r="BB61" s="90"/>
      <c r="BC61" s="90"/>
      <c r="BD61" s="90"/>
      <c r="BE61" s="90"/>
      <c r="BF61" s="90"/>
      <c r="BG61" s="90"/>
      <c r="BH61" s="90"/>
      <c r="BI61" s="90"/>
      <c r="BJ61" s="90"/>
      <c r="BK61" s="90"/>
      <c r="BL61" s="90">
        <f>HLOOKUP(B61,'STN-RPF-Tabela 1'!$A$4:$M$73,66,0)*1000</f>
        <v>1314025.6035063921</v>
      </c>
      <c r="BM61" s="177">
        <f>HLOOKUP(B61,'STN-RPF-Tabela 2'!$A$4:$M$73,66,0)</f>
        <v>5.9134810741971542</v>
      </c>
      <c r="BN61" s="90">
        <f>HLOOKUP(B61,'STN-RPF-Tabela 1'!$A$4:$M$73,61,0)*1000</f>
        <v>277760.59207325522</v>
      </c>
      <c r="BO61" s="177">
        <f>HLOOKUP(B61,'STN-RPF-Tabela 2'!$A$4:$M$73,61,0)</f>
        <v>1.2500000000000004</v>
      </c>
      <c r="BP61" s="90">
        <f>HLOOKUP(B61,'STN-RPF-Tabela 1'!$A$4:$M$73,64,0)*1000</f>
        <v>272071.52954692248</v>
      </c>
      <c r="BQ61" s="90">
        <f>HLOOKUP(B61,'STN-RPF-Tabela 2'!$A$4:$M$73,64,0)</f>
        <v>1.2243976346506336</v>
      </c>
      <c r="BR61" s="90">
        <f>'BCB-DBGG-anual'!B29</f>
        <v>18636117.39451113</v>
      </c>
      <c r="BS61" s="90">
        <f>'BCB-DBGG-anual'!C29</f>
        <v>82.532981668895673</v>
      </c>
    </row>
    <row r="62" spans="1:71">
      <c r="A62" s="179"/>
      <c r="B62" s="31">
        <v>2034</v>
      </c>
      <c r="C62" s="90"/>
      <c r="D62" s="90"/>
      <c r="E62" s="90"/>
      <c r="F62" s="90"/>
      <c r="G62" s="91"/>
      <c r="H62" s="90"/>
      <c r="I62" s="91"/>
      <c r="J62" s="91"/>
      <c r="K62" s="91"/>
      <c r="L62" s="91"/>
      <c r="M62" s="91"/>
      <c r="N62" s="90"/>
      <c r="O62" s="90"/>
      <c r="P62" s="90"/>
      <c r="Q62" s="90"/>
      <c r="R62" s="90"/>
      <c r="S62" s="90"/>
      <c r="T62" s="90"/>
      <c r="U62" s="90"/>
      <c r="V62" s="90"/>
      <c r="W62" s="90"/>
      <c r="X62" s="90"/>
      <c r="Y62" s="90"/>
      <c r="Z62" s="90"/>
      <c r="AA62" s="90"/>
      <c r="AB62" s="90"/>
      <c r="AC62" s="90"/>
      <c r="AD62" s="90"/>
      <c r="AE62" s="90"/>
      <c r="AF62" s="90"/>
      <c r="AG62" s="90"/>
      <c r="AH62" s="90"/>
      <c r="AI62" s="90"/>
      <c r="AJ62" s="90">
        <f>HLOOKUP(B62,'STN-RPF-Tabela 1'!$A$4:$M$73,2,0)*1000</f>
        <v>5245520.0257814676</v>
      </c>
      <c r="AK62" s="177">
        <f>HLOOKUP(B62,'STN-RPF-Tabela 2'!$A$4:$M$73,2,0)</f>
        <v>22.073637683991628</v>
      </c>
      <c r="AL62" s="90"/>
      <c r="AM62" s="90"/>
      <c r="AN62" s="90">
        <f>HLOOKUP(B62,'STN-RPF-Tabela 1'!$A$4:$M$73,3,0)*1000</f>
        <v>3357525.3979904251</v>
      </c>
      <c r="AO62" s="177">
        <f>HLOOKUP(B62,'STN-RPF-Tabela 2'!$A$4:$M$73,3,0)</f>
        <v>14.128780137294251</v>
      </c>
      <c r="AP62" s="90"/>
      <c r="AQ62" s="90"/>
      <c r="AR62" s="90">
        <f>HLOOKUP(B62,'STN-RPF-Tabela 1'!$A$4:$M$73,15,0)*1000</f>
        <v>386381.62138538796</v>
      </c>
      <c r="AS62" s="177">
        <f>HLOOKUP(B62,'STN-RPF-Tabela 2'!$A$4:$M$73,15,0)</f>
        <v>1.6259299128199731</v>
      </c>
      <c r="AT62" s="90">
        <f>HLOOKUP(B62,'STN-RPF-Tabela 1'!$A$4:$M$73,16,0)*1000</f>
        <v>229029.11486755291</v>
      </c>
      <c r="AU62" s="177">
        <f>HLOOKUP(B62,'STN-RPF-Tabela 2'!$A$4:$M$73,16,0)</f>
        <v>0.96377588414954218</v>
      </c>
      <c r="AV62" s="90">
        <f>HLOOKUP(B62,'STN-RPF-Tabela 1'!$A$4:$M$73,13,0)*1000</f>
        <v>558579.0751387151</v>
      </c>
      <c r="AW62" s="177">
        <f>HLOOKUP(B62,'STN-RPF-Tabela 2'!$A$4:$M$73,13,0)</f>
        <v>2.3505528645149441</v>
      </c>
      <c r="AX62" s="90"/>
      <c r="AY62" s="90"/>
      <c r="AZ62" s="90">
        <f>HLOOKUP(B62,'STN-RPF-Tabela 1'!$A$4:$M$73,48,0)*1000</f>
        <v>3977640.9849143876</v>
      </c>
      <c r="BA62" s="177">
        <f>HLOOKUP(B62,'STN-RPF-Tabela 2'!$A$4:$M$73,48,0)</f>
        <v>16.738284384857604</v>
      </c>
      <c r="BB62" s="90"/>
      <c r="BC62" s="90"/>
      <c r="BD62" s="90"/>
      <c r="BE62" s="90"/>
      <c r="BF62" s="90"/>
      <c r="BG62" s="90"/>
      <c r="BH62" s="90"/>
      <c r="BI62" s="90"/>
      <c r="BJ62" s="90"/>
      <c r="BK62" s="90"/>
      <c r="BL62" s="90">
        <f>HLOOKUP(B62,'STN-RPF-Tabela 1'!$A$4:$M$73,66,0)*1000</f>
        <v>1391455.1481176887</v>
      </c>
      <c r="BM62" s="177">
        <f>HLOOKUP(B62,'STN-RPF-Tabela 2'!$A$4:$M$73,66,0)</f>
        <v>5.8553730882952788</v>
      </c>
      <c r="BN62" s="90">
        <f>HLOOKUP(B62,'STN-RPF-Tabela 1'!$A$4:$M$73,61,0)*1000</f>
        <v>297046.64569093939</v>
      </c>
      <c r="BO62" s="177">
        <f>HLOOKUP(B62,'STN-RPF-Tabela 2'!$A$4:$M$73,61,0)</f>
        <v>1.2499999999999989</v>
      </c>
      <c r="BP62" s="90">
        <f>HLOOKUP(B62,'STN-RPF-Tabela 1'!$A$4:$M$73,64,0)*1000</f>
        <v>290996.42673974019</v>
      </c>
      <c r="BQ62" s="90">
        <f>HLOOKUP(B62,'STN-RPF-Tabela 2'!$A$4:$M$73,64,0)</f>
        <v>1.224540114158138</v>
      </c>
      <c r="BR62" s="90">
        <f>'BCB-DBGG-anual'!B30</f>
        <v>19833694.741277397</v>
      </c>
      <c r="BS62" s="90">
        <f>'BCB-DBGG-anual'!C30</f>
        <v>82.107078325987459</v>
      </c>
    </row>
    <row r="63" spans="1:71">
      <c r="A63" s="179"/>
      <c r="B63" s="31">
        <v>2035</v>
      </c>
      <c r="C63" s="90"/>
      <c r="D63" s="90"/>
      <c r="E63" s="90"/>
      <c r="F63" s="90"/>
      <c r="G63" s="91"/>
      <c r="H63" s="90"/>
      <c r="I63" s="91"/>
      <c r="J63" s="91"/>
      <c r="K63" s="91"/>
      <c r="L63" s="91"/>
      <c r="M63" s="91"/>
      <c r="N63" s="90"/>
      <c r="O63" s="90"/>
      <c r="P63" s="90"/>
      <c r="Q63" s="90"/>
      <c r="R63" s="90"/>
      <c r="S63" s="90"/>
      <c r="T63" s="90"/>
      <c r="U63" s="90"/>
      <c r="V63" s="90"/>
      <c r="W63" s="90"/>
      <c r="X63" s="90"/>
      <c r="Y63" s="90"/>
      <c r="Z63" s="90"/>
      <c r="AA63" s="90"/>
      <c r="AB63" s="90"/>
      <c r="AC63" s="90"/>
      <c r="AD63" s="90"/>
      <c r="AE63" s="90"/>
      <c r="AF63" s="90"/>
      <c r="AG63" s="90"/>
      <c r="AH63" s="90"/>
      <c r="AI63" s="90"/>
      <c r="AJ63" s="90">
        <f>HLOOKUP(B63,'STN-RPF-Tabela 1'!$A$4:$M$73,2,0)*1000</f>
        <v>5481586.5310095847</v>
      </c>
      <c r="AK63" s="177">
        <f>HLOOKUP(B63,'STN-RPF-Tabela 2'!$A$4:$M$73,2,0)</f>
        <v>21.581215859196949</v>
      </c>
      <c r="AL63" s="90"/>
      <c r="AM63" s="90"/>
      <c r="AN63" s="90">
        <f>HLOOKUP(B63,'STN-RPF-Tabela 1'!$A$4:$M$73,3,0)*1000</f>
        <v>3560214.5815481301</v>
      </c>
      <c r="AO63" s="177">
        <f>HLOOKUP(B63,'STN-RPF-Tabela 2'!$A$4:$M$73,3,0)</f>
        <v>14.016700996107359</v>
      </c>
      <c r="AP63" s="90"/>
      <c r="AQ63" s="90"/>
      <c r="AR63" s="90">
        <f>HLOOKUP(B63,'STN-RPF-Tabela 1'!$A$4:$M$73,15,0)*1000</f>
        <v>414157.98447673576</v>
      </c>
      <c r="AS63" s="177">
        <f>HLOOKUP(B63,'STN-RPF-Tabela 2'!$A$4:$M$73,15,0)</f>
        <v>1.6305558276311998</v>
      </c>
      <c r="AT63" s="90">
        <f>HLOOKUP(B63,'STN-RPF-Tabela 1'!$A$4:$M$73,16,0)*1000</f>
        <v>246785.45360419553</v>
      </c>
      <c r="AU63" s="177">
        <f>HLOOKUP(B63,'STN-RPF-Tabela 2'!$A$4:$M$73,16,0)</f>
        <v>0.97160377110038254</v>
      </c>
      <c r="AV63" s="90">
        <f>HLOOKUP(B63,'STN-RPF-Tabela 1'!$A$4:$M$73,13,0)*1000</f>
        <v>586520.13214689691</v>
      </c>
      <c r="AW63" s="177">
        <f>HLOOKUP(B63,'STN-RPF-Tabela 2'!$A$4:$M$73,13,0)</f>
        <v>2.3091521963615915</v>
      </c>
      <c r="AX63" s="90"/>
      <c r="AY63" s="90"/>
      <c r="AZ63" s="90">
        <f>HLOOKUP(B63,'STN-RPF-Tabela 1'!$A$4:$M$73,48,0)*1000</f>
        <v>4135325.5463502901</v>
      </c>
      <c r="BA63" s="177">
        <f>HLOOKUP(B63,'STN-RPF-Tabela 2'!$A$4:$M$73,48,0)</f>
        <v>16.280934864198919</v>
      </c>
      <c r="BB63" s="90"/>
      <c r="BC63" s="90"/>
      <c r="BD63" s="90"/>
      <c r="BE63" s="90"/>
      <c r="BF63" s="90"/>
      <c r="BG63" s="90"/>
      <c r="BH63" s="90"/>
      <c r="BI63" s="90"/>
      <c r="BJ63" s="90"/>
      <c r="BK63" s="90"/>
      <c r="BL63" s="90">
        <f>HLOOKUP(B63,'STN-RPF-Tabela 1'!$A$4:$M$73,66,0)*1000</f>
        <v>1488622.9242624932</v>
      </c>
      <c r="BM63" s="177">
        <f>HLOOKUP(B63,'STN-RPF-Tabela 2'!$A$4:$M$73,66,0)</f>
        <v>5.8607653969736582</v>
      </c>
      <c r="BN63" s="90">
        <f>HLOOKUP(B63,'STN-RPF-Tabela 1'!$A$4:$M$73,61,0)*1000</f>
        <v>317497.5501133306</v>
      </c>
      <c r="BO63" s="177">
        <f>HLOOKUP(B63,'STN-RPF-Tabela 2'!$A$4:$M$73,61,0)</f>
        <v>1.2500000000000011</v>
      </c>
      <c r="BP63" s="90">
        <f>HLOOKUP(B63,'STN-RPF-Tabela 1'!$A$4:$M$73,64,0)*1000</f>
        <v>310944.12721368478</v>
      </c>
      <c r="BQ63" s="90">
        <f>HLOOKUP(B63,'STN-RPF-Tabela 2'!$A$4:$M$73,64,0)</f>
        <v>1.2241989233566279</v>
      </c>
      <c r="BR63" s="90">
        <f>'BCB-DBGG-anual'!B31</f>
        <v>21093734.732374132</v>
      </c>
      <c r="BS63" s="90">
        <f>'BCB-DBGG-anual'!C31</f>
        <v>81.678704422280873</v>
      </c>
    </row>
    <row r="64" spans="1:71">
      <c r="I64" s="17"/>
      <c r="J64" s="17"/>
      <c r="K64" s="17"/>
      <c r="L64" s="17"/>
      <c r="M64" s="17"/>
    </row>
    <row r="65" spans="9:49">
      <c r="I65" s="17"/>
      <c r="J65" s="17"/>
      <c r="K65" s="17"/>
      <c r="L65" s="17"/>
      <c r="M65" s="17"/>
      <c r="R65" s="19"/>
      <c r="S65" s="19"/>
    </row>
    <row r="66" spans="9:49">
      <c r="I66" s="17"/>
      <c r="J66" s="17"/>
      <c r="K66" s="17"/>
      <c r="L66" s="17"/>
      <c r="M66" s="17"/>
      <c r="R66" s="19"/>
      <c r="S66" s="19"/>
      <c r="AW66" s="94"/>
    </row>
    <row r="67" spans="9:49">
      <c r="I67" s="17"/>
      <c r="J67" s="17"/>
      <c r="K67" s="17"/>
      <c r="L67" s="17"/>
      <c r="M67" s="17"/>
      <c r="R67" s="19"/>
      <c r="S67" s="19"/>
    </row>
    <row r="68" spans="9:49">
      <c r="I68" s="17"/>
      <c r="J68" s="17"/>
      <c r="K68" s="17"/>
      <c r="L68" s="17"/>
      <c r="M68" s="17"/>
      <c r="R68" s="19"/>
      <c r="S68" s="19"/>
    </row>
    <row r="69" spans="9:49">
      <c r="I69" s="17"/>
      <c r="J69" s="17"/>
      <c r="K69" s="17"/>
      <c r="L69" s="17"/>
      <c r="M69" s="17"/>
      <c r="R69" s="19"/>
      <c r="S69" s="19"/>
    </row>
    <row r="70" spans="9:49">
      <c r="I70" s="17"/>
      <c r="J70" s="17"/>
      <c r="K70" s="17"/>
      <c r="L70" s="17"/>
      <c r="M70" s="17"/>
      <c r="R70" s="19"/>
      <c r="S70" s="19"/>
    </row>
    <row r="71" spans="9:49">
      <c r="I71" s="17"/>
      <c r="J71" s="17"/>
      <c r="K71" s="17"/>
      <c r="L71" s="17"/>
      <c r="M71" s="17"/>
      <c r="R71" s="19"/>
      <c r="S71" s="19"/>
    </row>
    <row r="72" spans="9:49">
      <c r="I72" s="17"/>
      <c r="J72" s="17"/>
      <c r="K72" s="17"/>
      <c r="L72" s="17"/>
      <c r="M72" s="17"/>
      <c r="R72" s="19"/>
      <c r="S72" s="19"/>
    </row>
    <row r="73" spans="9:49">
      <c r="I73" s="17"/>
      <c r="J73" s="17"/>
      <c r="K73" s="17"/>
      <c r="L73" s="17"/>
      <c r="M73" s="17"/>
      <c r="R73" s="19"/>
      <c r="S73" s="19"/>
    </row>
    <row r="74" spans="9:49">
      <c r="I74" s="17"/>
      <c r="J74" s="17"/>
      <c r="K74" s="17"/>
      <c r="L74" s="17"/>
      <c r="M74" s="17"/>
      <c r="R74" s="19"/>
      <c r="S74" s="19"/>
    </row>
    <row r="75" spans="9:49">
      <c r="I75" s="17"/>
      <c r="J75" s="17"/>
      <c r="K75" s="17"/>
      <c r="L75" s="17"/>
      <c r="M75" s="17"/>
      <c r="R75" s="19"/>
      <c r="S75" s="19"/>
    </row>
    <row r="76" spans="9:49">
      <c r="I76" s="17"/>
      <c r="J76" s="17"/>
      <c r="K76" s="17"/>
      <c r="L76" s="17"/>
      <c r="M76" s="17"/>
      <c r="R76" s="19"/>
      <c r="S76" s="19"/>
    </row>
    <row r="77" spans="9:49">
      <c r="I77" s="17"/>
      <c r="J77" s="17"/>
      <c r="K77" s="17"/>
      <c r="L77" s="17"/>
      <c r="M77" s="17"/>
      <c r="R77" s="19"/>
      <c r="S77" s="19"/>
    </row>
    <row r="78" spans="9:49">
      <c r="I78" s="17"/>
      <c r="J78" s="17"/>
      <c r="K78" s="17"/>
      <c r="L78" s="17"/>
      <c r="M78" s="17"/>
      <c r="R78" s="19"/>
      <c r="S78" s="19"/>
    </row>
    <row r="79" spans="9:49">
      <c r="I79" s="17"/>
      <c r="J79" s="17"/>
      <c r="K79" s="17"/>
      <c r="L79" s="17"/>
      <c r="M79" s="17"/>
      <c r="R79" s="19"/>
      <c r="S79" s="19"/>
    </row>
    <row r="80" spans="9:49">
      <c r="I80" s="17"/>
      <c r="J80" s="17"/>
      <c r="K80" s="17"/>
      <c r="L80" s="17"/>
      <c r="M80" s="17"/>
      <c r="R80" s="19"/>
      <c r="S80" s="19"/>
    </row>
    <row r="81" spans="18:19">
      <c r="R81" s="19"/>
      <c r="S81" s="19"/>
    </row>
    <row r="82" spans="18:19">
      <c r="R82" s="19"/>
      <c r="S82" s="19"/>
    </row>
    <row r="83" spans="18:19">
      <c r="R83" s="19"/>
      <c r="S83" s="19"/>
    </row>
    <row r="84" spans="18:19">
      <c r="R84" s="19"/>
      <c r="S84" s="19"/>
    </row>
    <row r="85" spans="18:19">
      <c r="R85" s="19"/>
      <c r="S85" s="19"/>
    </row>
    <row r="86" spans="18:19">
      <c r="R86" s="19"/>
      <c r="S86" s="19"/>
    </row>
    <row r="87" spans="18:19">
      <c r="R87" s="19"/>
      <c r="S87" s="19"/>
    </row>
    <row r="88" spans="18:19">
      <c r="R88" s="19"/>
      <c r="S88" s="19"/>
    </row>
    <row r="89" spans="18:19">
      <c r="R89" s="19"/>
      <c r="S89" s="19"/>
    </row>
    <row r="90" spans="18:19">
      <c r="R90" s="19"/>
      <c r="S90" s="19"/>
    </row>
    <row r="91" spans="18:19">
      <c r="R91" s="19"/>
      <c r="S91" s="19"/>
    </row>
    <row r="92" spans="18:19">
      <c r="R92" s="19"/>
      <c r="S92" s="19"/>
    </row>
    <row r="93" spans="18:19">
      <c r="R93" s="19"/>
      <c r="S93" s="19"/>
    </row>
    <row r="94" spans="18:19">
      <c r="R94" s="19"/>
      <c r="S94" s="19"/>
    </row>
    <row r="95" spans="18:19">
      <c r="R95" s="19"/>
      <c r="S95" s="19"/>
    </row>
    <row r="96" spans="18:19">
      <c r="R96" s="19"/>
      <c r="S96" s="19"/>
    </row>
    <row r="97" spans="18:19">
      <c r="R97" s="19"/>
      <c r="S97" s="19"/>
    </row>
    <row r="98" spans="18:19">
      <c r="R98" s="19"/>
      <c r="S98" s="19"/>
    </row>
    <row r="99" spans="18:19">
      <c r="R99" s="19"/>
      <c r="S99" s="19"/>
    </row>
    <row r="100" spans="18:19">
      <c r="R100" s="19"/>
      <c r="S100" s="19"/>
    </row>
    <row r="101" spans="18:19">
      <c r="R101" s="19"/>
      <c r="S101" s="19"/>
    </row>
    <row r="102" spans="18:19">
      <c r="R102" s="19"/>
      <c r="S102" s="19"/>
    </row>
    <row r="103" spans="18:19">
      <c r="R103" s="19"/>
      <c r="S103" s="19"/>
    </row>
    <row r="104" spans="18:19">
      <c r="R104" s="19"/>
      <c r="S104" s="19"/>
    </row>
    <row r="105" spans="18:19">
      <c r="R105" s="19"/>
      <c r="S105" s="19"/>
    </row>
    <row r="106" spans="18:19">
      <c r="R106" s="19"/>
      <c r="S106" s="19"/>
    </row>
    <row r="107" spans="18:19">
      <c r="R107" s="19"/>
      <c r="S107" s="19"/>
    </row>
  </sheetData>
  <mergeCells count="5">
    <mergeCell ref="C7:O7"/>
    <mergeCell ref="P7:T7"/>
    <mergeCell ref="V7:AI7"/>
    <mergeCell ref="AJ7:BS7"/>
    <mergeCell ref="A53:A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78DC7-49B7-465F-82F3-661E7BB6A8B4}">
  <sheetPr>
    <tabColor theme="5" tint="-0.499984740745262"/>
  </sheetPr>
  <dimension ref="A2:O92"/>
  <sheetViews>
    <sheetView showGridLines="0" zoomScale="90" zoomScaleNormal="90" workbookViewId="0">
      <pane xSplit="1" ySplit="4" topLeftCell="B5" activePane="bottomRight" state="frozen"/>
      <selection activeCell="A25" sqref="A25"/>
      <selection pane="topRight" activeCell="A25" sqref="A25"/>
      <selection pane="bottomLeft" activeCell="A25" sqref="A25"/>
      <selection pane="bottomRight" activeCell="A69" sqref="A4:A69"/>
    </sheetView>
  </sheetViews>
  <sheetFormatPr defaultRowHeight="15.75"/>
  <cols>
    <col min="1" max="1" width="74.5703125" style="44" bestFit="1" customWidth="1"/>
    <col min="2" max="13" width="9.140625" style="43"/>
  </cols>
  <sheetData>
    <row r="2" spans="1:13" ht="18.75">
      <c r="A2" s="42" t="s">
        <v>372</v>
      </c>
    </row>
    <row r="3" spans="1:13" ht="16.5" thickBot="1"/>
    <row r="4" spans="1:13" ht="16.5" thickBot="1">
      <c r="A4" s="45" t="s">
        <v>288</v>
      </c>
      <c r="B4" s="46">
        <v>2024</v>
      </c>
      <c r="C4" s="46">
        <v>2025</v>
      </c>
      <c r="D4" s="46">
        <v>2026</v>
      </c>
      <c r="E4" s="46">
        <v>2027</v>
      </c>
      <c r="F4" s="46">
        <v>2028</v>
      </c>
      <c r="G4" s="46">
        <v>2029</v>
      </c>
      <c r="H4" s="46">
        <v>2030</v>
      </c>
      <c r="I4" s="46">
        <v>2031</v>
      </c>
      <c r="J4" s="46">
        <v>2032</v>
      </c>
      <c r="K4" s="46">
        <v>2033</v>
      </c>
      <c r="L4" s="46">
        <v>2034</v>
      </c>
      <c r="M4" s="46">
        <v>2035</v>
      </c>
    </row>
    <row r="5" spans="1:13" ht="23.25" customHeight="1" thickBot="1">
      <c r="A5" s="47" t="s">
        <v>289</v>
      </c>
      <c r="B5" s="95">
        <f>100*'[1]Tabela 1'!B5/'[1]Tabela 3'!B$9</f>
        <v>22.814029437295485</v>
      </c>
      <c r="C5" s="95">
        <f>100*'[1]Tabela 1'!C5/'[1]Tabela 3'!C$9</f>
        <v>23.022474047348293</v>
      </c>
      <c r="D5" s="95">
        <f>100*'[1]Tabela 1'!D5/'[1]Tabela 3'!D$9</f>
        <v>23.317380711510452</v>
      </c>
      <c r="E5" s="95">
        <f>100*'[1]Tabela 1'!E5/'[1]Tabela 3'!E$9</f>
        <v>23.196804035673729</v>
      </c>
      <c r="F5" s="95">
        <f>100*'[1]Tabela 1'!F5/'[1]Tabela 3'!F$9</f>
        <v>23.276339971962216</v>
      </c>
      <c r="G5" s="95">
        <f>100*'[1]Tabela 1'!G5/'[1]Tabela 3'!G$9</f>
        <v>23.297793421541989</v>
      </c>
      <c r="H5" s="95">
        <f>100*'[1]Tabela 1'!H5/'[1]Tabela 3'!H$9</f>
        <v>23.226412452772717</v>
      </c>
      <c r="I5" s="95">
        <f>100*'[1]Tabela 1'!I5/'[1]Tabela 3'!I$9</f>
        <v>23.208584746869331</v>
      </c>
      <c r="J5" s="95">
        <f>100*'[1]Tabela 1'!J5/'[1]Tabela 3'!J$9</f>
        <v>23.130912129235305</v>
      </c>
      <c r="K5" s="95">
        <f>100*'[1]Tabela 1'!K5/'[1]Tabela 3'!K$9</f>
        <v>22.55038128215849</v>
      </c>
      <c r="L5" s="95">
        <f>100*'[1]Tabela 1'!L5/'[1]Tabela 3'!L$9</f>
        <v>22.073637683991628</v>
      </c>
      <c r="M5" s="95">
        <f>100*'[1]Tabela 1'!M5/'[1]Tabela 3'!M$9</f>
        <v>21.581215859196949</v>
      </c>
    </row>
    <row r="6" spans="1:13">
      <c r="A6" s="49" t="s">
        <v>290</v>
      </c>
      <c r="B6" s="96">
        <f>100*'[1]Tabela 1'!B6/'[1]Tabela 3'!B$9</f>
        <v>14.389630723413674</v>
      </c>
      <c r="C6" s="96">
        <f>100*'[1]Tabela 1'!C6/'[1]Tabela 3'!C$9</f>
        <v>14.758495978349218</v>
      </c>
      <c r="D6" s="96">
        <f>100*'[1]Tabela 1'!D6/'[1]Tabela 3'!D$9</f>
        <v>14.91133045524883</v>
      </c>
      <c r="E6" s="96">
        <f>100*'[1]Tabela 1'!E6/'[1]Tabela 3'!E$9</f>
        <v>14.673506928794538</v>
      </c>
      <c r="F6" s="96">
        <f>100*'[1]Tabela 1'!F6/'[1]Tabela 3'!F$9</f>
        <v>14.375222308089066</v>
      </c>
      <c r="G6" s="96">
        <f>100*'[1]Tabela 1'!G6/'[1]Tabela 3'!G$9</f>
        <v>14.25529134387437</v>
      </c>
      <c r="H6" s="96">
        <f>100*'[1]Tabela 1'!H6/'[1]Tabela 3'!H$9</f>
        <v>14.256237937960677</v>
      </c>
      <c r="I6" s="96">
        <f>100*'[1]Tabela 1'!I6/'[1]Tabela 3'!I$9</f>
        <v>14.357109769341619</v>
      </c>
      <c r="J6" s="96">
        <f>100*'[1]Tabela 1'!J6/'[1]Tabela 3'!J$9</f>
        <v>14.261396638677393</v>
      </c>
      <c r="K6" s="96">
        <f>100*'[1]Tabela 1'!K6/'[1]Tabela 3'!K$9</f>
        <v>14.202591994284617</v>
      </c>
      <c r="L6" s="96">
        <f>100*'[1]Tabela 1'!L6/'[1]Tabela 3'!L$9</f>
        <v>14.128780137294251</v>
      </c>
      <c r="M6" s="96">
        <f>100*'[1]Tabela 1'!M6/'[1]Tabela 3'!M$9</f>
        <v>14.016700996107359</v>
      </c>
    </row>
    <row r="7" spans="1:13">
      <c r="A7" s="51" t="s">
        <v>291</v>
      </c>
      <c r="B7" s="97">
        <f>100*'[1]Tabela 1'!B7/'[1]Tabela 3'!B$9</f>
        <v>0.66199438104476616</v>
      </c>
      <c r="C7" s="97">
        <f>100*'[1]Tabela 1'!C7/'[1]Tabela 3'!C$9</f>
        <v>0.72644525712481556</v>
      </c>
      <c r="D7" s="97">
        <f>100*'[1]Tabela 1'!D7/'[1]Tabela 3'!D$9</f>
        <v>0.72311379713329993</v>
      </c>
      <c r="E7" s="97">
        <f>100*'[1]Tabela 1'!E7/'[1]Tabela 3'!E$9</f>
        <v>0.72735209745649221</v>
      </c>
      <c r="F7" s="97">
        <f>100*'[1]Tabela 1'!F7/'[1]Tabela 3'!F$9</f>
        <v>0.73730219489451143</v>
      </c>
      <c r="G7" s="97">
        <f>100*'[1]Tabela 1'!G7/'[1]Tabela 3'!G$9</f>
        <v>0.74795884558431303</v>
      </c>
      <c r="H7" s="97">
        <f>100*'[1]Tabela 1'!H7/'[1]Tabela 3'!H$9</f>
        <v>0.7657309249316312</v>
      </c>
      <c r="I7" s="97">
        <f>100*'[1]Tabela 1'!I7/'[1]Tabela 3'!I$9</f>
        <v>0.79037136307062694</v>
      </c>
      <c r="J7" s="97">
        <f>100*'[1]Tabela 1'!J7/'[1]Tabela 3'!J$9</f>
        <v>0.81972161914660613</v>
      </c>
      <c r="K7" s="97">
        <f>100*'[1]Tabela 1'!K7/'[1]Tabela 3'!K$9</f>
        <v>0.85208038208921921</v>
      </c>
      <c r="L7" s="97">
        <f>100*'[1]Tabela 1'!L7/'[1]Tabela 3'!L$9</f>
        <v>0.887618529812363</v>
      </c>
      <c r="M7" s="97">
        <f>100*'[1]Tabela 1'!M7/'[1]Tabela 3'!M$9</f>
        <v>0.92560360263318553</v>
      </c>
    </row>
    <row r="8" spans="1:13">
      <c r="A8" s="51" t="s">
        <v>292</v>
      </c>
      <c r="B8" s="97">
        <f>100*'[1]Tabela 1'!B8/'[1]Tabela 3'!B$9</f>
        <v>0.71839358002281328</v>
      </c>
      <c r="C8" s="97">
        <f>100*'[1]Tabela 1'!C8/'[1]Tabela 3'!C$9</f>
        <v>0.70247835340291942</v>
      </c>
      <c r="D8" s="97">
        <f>100*'[1]Tabela 1'!D8/'[1]Tabela 3'!D$9</f>
        <v>0.6768924881222752</v>
      </c>
      <c r="E8" s="97">
        <f>100*'[1]Tabela 1'!E8/'[1]Tabela 3'!E$9</f>
        <v>0.68053798444897062</v>
      </c>
      <c r="F8" s="97">
        <f>100*'[1]Tabela 1'!F8/'[1]Tabela 3'!F$9</f>
        <v>0.67708895702618177</v>
      </c>
      <c r="G8" s="97">
        <f>100*'[1]Tabela 1'!G8/'[1]Tabela 3'!G$9</f>
        <v>0.67158219728167501</v>
      </c>
      <c r="H8" s="97">
        <f>100*'[1]Tabela 1'!H8/'[1]Tabela 3'!H$9</f>
        <v>0.66633210103875584</v>
      </c>
      <c r="I8" s="97">
        <f>100*'[1]Tabela 1'!I8/'[1]Tabela 3'!I$9</f>
        <v>0.66212298354849508</v>
      </c>
      <c r="J8" s="97">
        <f>100*'[1]Tabela 1'!J8/'[1]Tabela 3'!J$9</f>
        <v>0.65898598288498589</v>
      </c>
      <c r="K8" s="97">
        <f>100*'[1]Tabela 1'!K8/'[1]Tabela 3'!K$9</f>
        <v>0.65659128297713809</v>
      </c>
      <c r="L8" s="97">
        <f>100*'[1]Tabela 1'!L8/'[1]Tabela 3'!L$9</f>
        <v>0.65478847371394866</v>
      </c>
      <c r="M8" s="97">
        <f>100*'[1]Tabela 1'!M8/'[1]Tabela 3'!M$9</f>
        <v>0.65362195884267893</v>
      </c>
    </row>
    <row r="9" spans="1:13">
      <c r="A9" s="53" t="s">
        <v>293</v>
      </c>
      <c r="B9" s="97">
        <f>100*'[1]Tabela 1'!B9/'[1]Tabela 3'!B$9</f>
        <v>6.9482603145359048E-2</v>
      </c>
      <c r="C9" s="97">
        <f>100*'[1]Tabela 1'!C9/'[1]Tabela 3'!C$9</f>
        <v>9.1849369501597888E-2</v>
      </c>
      <c r="D9" s="97">
        <f>100*'[1]Tabela 1'!D9/'[1]Tabela 3'!D$9</f>
        <v>7.5572995909257076E-2</v>
      </c>
      <c r="E9" s="97">
        <f>100*'[1]Tabela 1'!E9/'[1]Tabela 3'!E$9</f>
        <v>6.9747952338188604E-2</v>
      </c>
      <c r="F9" s="97">
        <f>100*'[1]Tabela 1'!F9/'[1]Tabela 3'!F$9</f>
        <v>6.456301582968009E-2</v>
      </c>
      <c r="G9" s="97">
        <f>100*'[1]Tabela 1'!G9/'[1]Tabela 3'!G$9</f>
        <v>5.9845683408900084E-2</v>
      </c>
      <c r="H9" s="97">
        <f>100*'[1]Tabela 1'!H9/'[1]Tabela 3'!H$9</f>
        <v>5.8554175312379393E-2</v>
      </c>
      <c r="I9" s="97">
        <f>100*'[1]Tabela 1'!I9/'[1]Tabela 3'!I$9</f>
        <v>5.7350426791316376E-2</v>
      </c>
      <c r="J9" s="97">
        <f>100*'[1]Tabela 1'!J9/'[1]Tabela 3'!J$9</f>
        <v>5.6200536806612765E-2</v>
      </c>
      <c r="K9" s="97">
        <f>100*'[1]Tabela 1'!K9/'[1]Tabela 3'!K$9</f>
        <v>5.5079137429203555E-2</v>
      </c>
      <c r="L9" s="97">
        <f>100*'[1]Tabela 1'!L9/'[1]Tabela 3'!L$9</f>
        <v>5.3967115708077634E-2</v>
      </c>
      <c r="M9" s="97">
        <f>100*'[1]Tabela 1'!M9/'[1]Tabela 3'!M$9</f>
        <v>5.2906490646372609E-2</v>
      </c>
    </row>
    <row r="10" spans="1:13">
      <c r="A10" s="53" t="s">
        <v>294</v>
      </c>
      <c r="B10" s="97">
        <f>100*'[1]Tabela 1'!B10/'[1]Tabela 3'!B$9</f>
        <v>2.8447566672771027E-2</v>
      </c>
      <c r="C10" s="97">
        <f>100*'[1]Tabela 1'!C10/'[1]Tabela 3'!C$9</f>
        <v>2.7576594517288323E-2</v>
      </c>
      <c r="D10" s="97">
        <f>100*'[1]Tabela 1'!D10/'[1]Tabela 3'!D$9</f>
        <v>2.5868771278002391E-2</v>
      </c>
      <c r="E10" s="97">
        <f>100*'[1]Tabela 1'!E10/'[1]Tabela 3'!E$9</f>
        <v>2.5091280863940715E-2</v>
      </c>
      <c r="F10" s="97">
        <f>100*'[1]Tabela 1'!F10/'[1]Tabela 3'!F$9</f>
        <v>2.4246365759988599E-2</v>
      </c>
      <c r="G10" s="97">
        <f>100*'[1]Tabela 1'!G10/'[1]Tabela 3'!G$9</f>
        <v>2.3483452261146936E-2</v>
      </c>
      <c r="H10" s="97">
        <f>100*'[1]Tabela 1'!H10/'[1]Tabela 3'!H$9</f>
        <v>2.2603508648731886E-2</v>
      </c>
      <c r="I10" s="97">
        <f>100*'[1]Tabela 1'!I10/'[1]Tabela 3'!I$9</f>
        <v>2.1791224886884078E-2</v>
      </c>
      <c r="J10" s="97">
        <f>100*'[1]Tabela 1'!J10/'[1]Tabela 3'!J$9</f>
        <v>2.101886641304784E-2</v>
      </c>
      <c r="K10" s="97">
        <f>100*'[1]Tabela 1'!K10/'[1]Tabela 3'!K$9</f>
        <v>2.0279492953914204E-2</v>
      </c>
      <c r="L10" s="97">
        <f>100*'[1]Tabela 1'!L10/'[1]Tabela 3'!L$9</f>
        <v>1.9564388322304012E-2</v>
      </c>
      <c r="M10" s="97">
        <f>100*'[1]Tabela 1'!M10/'[1]Tabela 3'!M$9</f>
        <v>1.8886345000675542E-2</v>
      </c>
    </row>
    <row r="11" spans="1:13">
      <c r="A11" s="53" t="s">
        <v>295</v>
      </c>
      <c r="B11" s="97">
        <f>100*'[1]Tabela 1'!B11/'[1]Tabela 3'!B$9</f>
        <v>7.3421627146400811E-2</v>
      </c>
      <c r="C11" s="97">
        <f>100*'[1]Tabela 1'!C11/'[1]Tabela 3'!C$9</f>
        <v>7.5122992768304434E-2</v>
      </c>
      <c r="D11" s="97">
        <f>100*'[1]Tabela 1'!D11/'[1]Tabela 3'!D$9</f>
        <v>7.425121861045432E-2</v>
      </c>
      <c r="E11" s="97">
        <f>100*'[1]Tabela 1'!E11/'[1]Tabela 3'!E$9</f>
        <v>7.1001955805603298E-2</v>
      </c>
      <c r="F11" s="97">
        <f>100*'[1]Tabela 1'!F11/'[1]Tabela 3'!F$9</f>
        <v>6.9212287906189829E-2</v>
      </c>
      <c r="G11" s="97">
        <f>100*'[1]Tabela 1'!G11/'[1]Tabela 3'!G$9</f>
        <v>6.6609753040484984E-2</v>
      </c>
      <c r="H11" s="97">
        <f>100*'[1]Tabela 1'!H11/'[1]Tabela 3'!H$9</f>
        <v>6.5823969963284504E-2</v>
      </c>
      <c r="I11" s="97">
        <f>100*'[1]Tabela 1'!I11/'[1]Tabela 3'!I$9</f>
        <v>6.5058775997827459E-2</v>
      </c>
      <c r="J11" s="97">
        <f>100*'[1]Tabela 1'!J11/'[1]Tabela 3'!J$9</f>
        <v>6.4365781458521398E-2</v>
      </c>
      <c r="K11" s="97">
        <f>100*'[1]Tabela 1'!K11/'[1]Tabela 3'!K$9</f>
        <v>6.3706677136709286E-2</v>
      </c>
      <c r="L11" s="97">
        <f>100*'[1]Tabela 1'!L11/'[1]Tabela 3'!L$9</f>
        <v>6.3056113096551139E-2</v>
      </c>
      <c r="M11" s="97">
        <f>100*'[1]Tabela 1'!M11/'[1]Tabela 3'!M$9</f>
        <v>6.2446417220363371E-2</v>
      </c>
    </row>
    <row r="12" spans="1:13">
      <c r="A12" s="53" t="s">
        <v>296</v>
      </c>
      <c r="B12" s="97">
        <f>100*'[1]Tabela 1'!B12/'[1]Tabela 3'!B$9</f>
        <v>0.25220858555834685</v>
      </c>
      <c r="C12" s="97">
        <f>100*'[1]Tabela 1'!C12/'[1]Tabela 3'!C$9</f>
        <v>0.2509459410943336</v>
      </c>
      <c r="D12" s="97">
        <f>100*'[1]Tabela 1'!D12/'[1]Tabela 3'!D$9</f>
        <v>0.25393561659430969</v>
      </c>
      <c r="E12" s="97">
        <f>100*'[1]Tabela 1'!E12/'[1]Tabela 3'!E$9</f>
        <v>0.2555009358784236</v>
      </c>
      <c r="F12" s="97">
        <f>100*'[1]Tabela 1'!F12/'[1]Tabela 3'!F$9</f>
        <v>0.25848939422900213</v>
      </c>
      <c r="G12" s="97">
        <f>100*'[1]Tabela 1'!G12/'[1]Tabela 3'!G$9</f>
        <v>0.26058822489206801</v>
      </c>
      <c r="H12" s="97">
        <f>100*'[1]Tabela 1'!H12/'[1]Tabela 3'!H$9</f>
        <v>0.26189596134573978</v>
      </c>
      <c r="I12" s="97">
        <f>100*'[1]Tabela 1'!I12/'[1]Tabela 3'!I$9</f>
        <v>0.26375697261829412</v>
      </c>
      <c r="J12" s="97">
        <f>100*'[1]Tabela 1'!J12/'[1]Tabela 3'!J$9</f>
        <v>0.26635323142723355</v>
      </c>
      <c r="K12" s="97">
        <f>100*'[1]Tabela 1'!K12/'[1]Tabela 3'!K$9</f>
        <v>0.2695296099273416</v>
      </c>
      <c r="L12" s="97">
        <f>100*'[1]Tabela 1'!L12/'[1]Tabela 3'!L$9</f>
        <v>0.27327061449016732</v>
      </c>
      <c r="M12" s="97">
        <f>100*'[1]Tabela 1'!M12/'[1]Tabela 3'!M$9</f>
        <v>0.27735407859622946</v>
      </c>
    </row>
    <row r="13" spans="1:13">
      <c r="A13" s="53" t="s">
        <v>297</v>
      </c>
      <c r="B13" s="97">
        <f>100*'[1]Tabela 1'!B13/'[1]Tabela 3'!B$9</f>
        <v>0.29483319749993553</v>
      </c>
      <c r="C13" s="97">
        <f>100*'[1]Tabela 1'!C13/'[1]Tabela 3'!C$9</f>
        <v>0.25698345552139529</v>
      </c>
      <c r="D13" s="97">
        <f>100*'[1]Tabela 1'!D13/'[1]Tabela 3'!D$9</f>
        <v>0.24726388573025176</v>
      </c>
      <c r="E13" s="97">
        <f>100*'[1]Tabela 1'!E13/'[1]Tabela 3'!E$9</f>
        <v>0.25919585956281455</v>
      </c>
      <c r="F13" s="97">
        <f>100*'[1]Tabela 1'!F13/'[1]Tabela 3'!F$9</f>
        <v>0.26057789330132103</v>
      </c>
      <c r="G13" s="97">
        <f>100*'[1]Tabela 1'!G13/'[1]Tabela 3'!G$9</f>
        <v>0.2610550836790751</v>
      </c>
      <c r="H13" s="97">
        <f>100*'[1]Tabela 1'!H13/'[1]Tabela 3'!H$9</f>
        <v>0.25745448576862034</v>
      </c>
      <c r="I13" s="97">
        <f>100*'[1]Tabela 1'!I13/'[1]Tabela 3'!I$9</f>
        <v>0.2541655832541731</v>
      </c>
      <c r="J13" s="97">
        <f>100*'[1]Tabela 1'!J13/'[1]Tabela 3'!J$9</f>
        <v>0.25104756677957035</v>
      </c>
      <c r="K13" s="97">
        <f>100*'[1]Tabela 1'!K13/'[1]Tabela 3'!K$9</f>
        <v>0.24799636552996956</v>
      </c>
      <c r="L13" s="97">
        <f>100*'[1]Tabela 1'!L13/'[1]Tabela 3'!L$9</f>
        <v>0.24493024209684852</v>
      </c>
      <c r="M13" s="97">
        <f>100*'[1]Tabela 1'!M13/'[1]Tabela 3'!M$9</f>
        <v>0.24202862737903783</v>
      </c>
    </row>
    <row r="14" spans="1:13">
      <c r="A14" s="51" t="s">
        <v>298</v>
      </c>
      <c r="B14" s="97">
        <f>100*'[1]Tabela 1'!B14/'[1]Tabela 3'!B$9</f>
        <v>6.6852416399459917</v>
      </c>
      <c r="C14" s="97">
        <f>100*'[1]Tabela 1'!C14/'[1]Tabela 3'!C$9</f>
        <v>6.837664385834163</v>
      </c>
      <c r="D14" s="97">
        <f>100*'[1]Tabela 1'!D14/'[1]Tabela 3'!D$9</f>
        <v>6.9625826604194518</v>
      </c>
      <c r="E14" s="97">
        <f>100*'[1]Tabela 1'!E14/'[1]Tabela 3'!E$9</f>
        <v>6.791670850751407</v>
      </c>
      <c r="F14" s="97">
        <f>100*'[1]Tabela 1'!F14/'[1]Tabela 3'!F$9</f>
        <v>6.6047691982505752</v>
      </c>
      <c r="G14" s="97">
        <f>100*'[1]Tabela 1'!G14/'[1]Tabela 3'!G$9</f>
        <v>6.523704880307311</v>
      </c>
      <c r="H14" s="97">
        <f>100*'[1]Tabela 1'!H14/'[1]Tabela 3'!H$9</f>
        <v>6.5693940892196636</v>
      </c>
      <c r="I14" s="97">
        <f>100*'[1]Tabela 1'!I14/'[1]Tabela 3'!I$9</f>
        <v>6.7032724744951642</v>
      </c>
      <c r="J14" s="97">
        <f>100*'[1]Tabela 1'!J14/'[1]Tabela 3'!J$9</f>
        <v>6.7011797901626409</v>
      </c>
      <c r="K14" s="97">
        <f>100*'[1]Tabela 1'!K14/'[1]Tabela 3'!K$9</f>
        <v>6.7084055644910885</v>
      </c>
      <c r="L14" s="97">
        <f>100*'[1]Tabela 1'!L14/'[1]Tabela 3'!L$9</f>
        <v>6.6861294407725831</v>
      </c>
      <c r="M14" s="97">
        <f>100*'[1]Tabela 1'!M14/'[1]Tabela 3'!M$9</f>
        <v>6.6660399001070925</v>
      </c>
    </row>
    <row r="15" spans="1:13">
      <c r="A15" s="54" t="s">
        <v>299</v>
      </c>
      <c r="B15" s="97">
        <f>100*'[1]Tabela 1'!B15/'[1]Tabela 3'!B$9</f>
        <v>0.6047282161572376</v>
      </c>
      <c r="C15" s="97">
        <f>100*'[1]Tabela 1'!C15/'[1]Tabela 3'!C$9</f>
        <v>0.59076514486600651</v>
      </c>
      <c r="D15" s="97">
        <f>100*'[1]Tabela 1'!D15/'[1]Tabela 3'!D$9</f>
        <v>0.58072717670971108</v>
      </c>
      <c r="E15" s="97">
        <f>100*'[1]Tabela 1'!E15/'[1]Tabela 3'!E$9</f>
        <v>0.58067704029516953</v>
      </c>
      <c r="F15" s="97">
        <f>100*'[1]Tabela 1'!F15/'[1]Tabela 3'!F$9</f>
        <v>0.54650594427133392</v>
      </c>
      <c r="G15" s="97">
        <f>100*'[1]Tabela 1'!G15/'[1]Tabela 3'!G$9</f>
        <v>0.52466463729696</v>
      </c>
      <c r="H15" s="97">
        <f>100*'[1]Tabela 1'!H15/'[1]Tabela 3'!H$9</f>
        <v>0.53102304089565433</v>
      </c>
      <c r="I15" s="97">
        <f>100*'[1]Tabela 1'!I15/'[1]Tabela 3'!I$9</f>
        <v>0.67786082244888524</v>
      </c>
      <c r="J15" s="97">
        <f>100*'[1]Tabela 1'!J15/'[1]Tabela 3'!J$9</f>
        <v>0.67320809377824453</v>
      </c>
      <c r="K15" s="97">
        <f>100*'[1]Tabela 1'!K15/'[1]Tabela 3'!K$9</f>
        <v>0.67465216432404163</v>
      </c>
      <c r="L15" s="97">
        <f>100*'[1]Tabela 1'!L15/'[1]Tabela 3'!L$9</f>
        <v>0.6746192545163654</v>
      </c>
      <c r="M15" s="97">
        <f>100*'[1]Tabela 1'!M15/'[1]Tabela 3'!M$9</f>
        <v>0.67089548135369081</v>
      </c>
    </row>
    <row r="16" spans="1:13">
      <c r="A16" s="54" t="s">
        <v>300</v>
      </c>
      <c r="B16" s="97">
        <f>100*'[1]Tabela 1'!B16/'[1]Tabela 3'!B$9</f>
        <v>2.3877778756435291</v>
      </c>
      <c r="C16" s="97">
        <f>100*'[1]Tabela 1'!C16/'[1]Tabela 3'!C$9</f>
        <v>2.4874836263922782</v>
      </c>
      <c r="D16" s="97">
        <f>100*'[1]Tabela 1'!D16/'[1]Tabela 3'!D$9</f>
        <v>2.4465364713373781</v>
      </c>
      <c r="E16" s="97">
        <f>100*'[1]Tabela 1'!E16/'[1]Tabela 3'!E$9</f>
        <v>2.4245779419404552</v>
      </c>
      <c r="F16" s="97">
        <f>100*'[1]Tabela 1'!F16/'[1]Tabela 3'!F$9</f>
        <v>2.3946376646224872</v>
      </c>
      <c r="G16" s="97">
        <f>100*'[1]Tabela 1'!G16/'[1]Tabela 3'!G$9</f>
        <v>2.3946965951056378</v>
      </c>
      <c r="H16" s="97">
        <f>100*'[1]Tabela 1'!H16/'[1]Tabela 3'!H$9</f>
        <v>2.4418442208619426</v>
      </c>
      <c r="I16" s="97">
        <f>100*'[1]Tabela 1'!I16/'[1]Tabela 3'!I$9</f>
        <v>2.4252303252177905</v>
      </c>
      <c r="J16" s="97">
        <f>100*'[1]Tabela 1'!J16/'[1]Tabela 3'!J$9</f>
        <v>2.4094486166092386</v>
      </c>
      <c r="K16" s="97">
        <f>100*'[1]Tabela 1'!K16/'[1]Tabela 3'!K$9</f>
        <v>2.394750736450765</v>
      </c>
      <c r="L16" s="97">
        <f>100*'[1]Tabela 1'!L16/'[1]Tabela 3'!L$9</f>
        <v>2.3505528645149441</v>
      </c>
      <c r="M16" s="97">
        <f>100*'[1]Tabela 1'!M16/'[1]Tabela 3'!M$9</f>
        <v>2.3091521963615915</v>
      </c>
    </row>
    <row r="17" spans="1:13">
      <c r="A17" s="54" t="s">
        <v>301</v>
      </c>
      <c r="B17" s="97">
        <f>100*'[1]Tabela 1'!B17/'[1]Tabela 3'!B$9</f>
        <v>3.692735548145226</v>
      </c>
      <c r="C17" s="97">
        <f>100*'[1]Tabela 1'!C17/'[1]Tabela 3'!C$9</f>
        <v>3.759415614575877</v>
      </c>
      <c r="D17" s="97">
        <f>100*'[1]Tabela 1'!D17/'[1]Tabela 3'!D$9</f>
        <v>3.9353190123723611</v>
      </c>
      <c r="E17" s="97">
        <f>100*'[1]Tabela 1'!E17/'[1]Tabela 3'!E$9</f>
        <v>3.7864158685157809</v>
      </c>
      <c r="F17" s="97">
        <f>100*'[1]Tabela 1'!F17/'[1]Tabela 3'!F$9</f>
        <v>3.6636255893567533</v>
      </c>
      <c r="G17" s="97">
        <f>100*'[1]Tabela 1'!G17/'[1]Tabela 3'!G$9</f>
        <v>3.6043436479047126</v>
      </c>
      <c r="H17" s="97">
        <f>100*'[1]Tabela 1'!H17/'[1]Tabela 3'!H$9</f>
        <v>3.5965268274620659</v>
      </c>
      <c r="I17" s="97">
        <f>100*'[1]Tabela 1'!I17/'[1]Tabela 3'!I$9</f>
        <v>3.6001813268284883</v>
      </c>
      <c r="J17" s="97">
        <f>100*'[1]Tabela 1'!J17/'[1]Tabela 3'!J$9</f>
        <v>3.6185230797751569</v>
      </c>
      <c r="K17" s="97">
        <f>100*'[1]Tabela 1'!K17/'[1]Tabela 3'!K$9</f>
        <v>3.6390026637162816</v>
      </c>
      <c r="L17" s="97">
        <f>100*'[1]Tabela 1'!L17/'[1]Tabela 3'!L$9</f>
        <v>3.6609573217412721</v>
      </c>
      <c r="M17" s="97">
        <f>100*'[1]Tabela 1'!M17/'[1]Tabela 3'!M$9</f>
        <v>3.6859922223918105</v>
      </c>
    </row>
    <row r="18" spans="1:13">
      <c r="A18" s="53" t="s">
        <v>302</v>
      </c>
      <c r="B18" s="97">
        <f>100*'[1]Tabela 1'!B18/'[1]Tabela 3'!B$9</f>
        <v>1.5697996208229981</v>
      </c>
      <c r="C18" s="97">
        <f>100*'[1]Tabela 1'!C18/'[1]Tabela 3'!C$9</f>
        <v>1.6008085494572466</v>
      </c>
      <c r="D18" s="97">
        <f>100*'[1]Tabela 1'!D18/'[1]Tabela 3'!D$9</f>
        <v>1.6295868863813097</v>
      </c>
      <c r="E18" s="97">
        <f>100*'[1]Tabela 1'!E18/'[1]Tabela 3'!E$9</f>
        <v>1.6315538747598022</v>
      </c>
      <c r="F18" s="97">
        <f>100*'[1]Tabela 1'!F18/'[1]Tabela 3'!F$9</f>
        <v>1.6306578542155423</v>
      </c>
      <c r="G18" s="97">
        <f>100*'[1]Tabela 1'!G18/'[1]Tabela 3'!G$9</f>
        <v>1.6262109759601731</v>
      </c>
      <c r="H18" s="97">
        <f>100*'[1]Tabela 1'!H18/'[1]Tabela 3'!H$9</f>
        <v>1.6233488890080501</v>
      </c>
      <c r="I18" s="97">
        <f>100*'[1]Tabela 1'!I18/'[1]Tabela 3'!I$9</f>
        <v>1.6205840983306665</v>
      </c>
      <c r="J18" s="97">
        <f>100*'[1]Tabela 1'!J18/'[1]Tabela 3'!J$9</f>
        <v>1.6209732337296665</v>
      </c>
      <c r="K18" s="97">
        <f>100*'[1]Tabela 1'!K18/'[1]Tabela 3'!K$9</f>
        <v>1.6228588526439223</v>
      </c>
      <c r="L18" s="97">
        <f>100*'[1]Tabela 1'!L18/'[1]Tabela 3'!L$9</f>
        <v>1.6259299128199731</v>
      </c>
      <c r="M18" s="97">
        <f>100*'[1]Tabela 1'!M18/'[1]Tabela 3'!M$9</f>
        <v>1.6305558276311998</v>
      </c>
    </row>
    <row r="19" spans="1:13">
      <c r="A19" s="53" t="s">
        <v>303</v>
      </c>
      <c r="B19" s="97">
        <f>100*'[1]Tabela 1'!B19/'[1]Tabela 3'!B$9</f>
        <v>1.2519813760269778</v>
      </c>
      <c r="C19" s="97">
        <f>100*'[1]Tabela 1'!C19/'[1]Tabela 3'!C$9</f>
        <v>1.2878013059821307</v>
      </c>
      <c r="D19" s="97">
        <f>100*'[1]Tabela 1'!D19/'[1]Tabela 3'!D$9</f>
        <v>1.3553449773190516</v>
      </c>
      <c r="E19" s="97">
        <f>100*'[1]Tabela 1'!E19/'[1]Tabela 3'!E$9</f>
        <v>1.1761872407030005</v>
      </c>
      <c r="F19" s="97">
        <f>100*'[1]Tabela 1'!F19/'[1]Tabela 3'!F$9</f>
        <v>1.032595655877105</v>
      </c>
      <c r="G19" s="97">
        <f>100*'[1]Tabela 1'!G19/'[1]Tabela 3'!G$9</f>
        <v>0.95793523669948155</v>
      </c>
      <c r="H19" s="97">
        <f>100*'[1]Tabela 1'!H19/'[1]Tabela 3'!H$9</f>
        <v>0.94548306028296114</v>
      </c>
      <c r="I19" s="97">
        <f>100*'[1]Tabela 1'!I19/'[1]Tabela 3'!I$9</f>
        <v>0.94192839977714227</v>
      </c>
      <c r="J19" s="97">
        <f>100*'[1]Tabela 1'!J19/'[1]Tabela 3'!J$9</f>
        <v>0.94913127367356576</v>
      </c>
      <c r="K19" s="97">
        <f>100*'[1]Tabela 1'!K19/'[1]Tabela 3'!K$9</f>
        <v>0.95651462643884977</v>
      </c>
      <c r="L19" s="97">
        <f>100*'[1]Tabela 1'!L19/'[1]Tabela 3'!L$9</f>
        <v>0.96377588414954218</v>
      </c>
      <c r="M19" s="97">
        <f>100*'[1]Tabela 1'!M19/'[1]Tabela 3'!M$9</f>
        <v>0.97160377110038254</v>
      </c>
    </row>
    <row r="20" spans="1:13">
      <c r="A20" s="53" t="s">
        <v>304</v>
      </c>
      <c r="B20" s="97">
        <f>100*'[1]Tabela 1'!B20/'[1]Tabela 3'!B$9</f>
        <v>0.68039217583404821</v>
      </c>
      <c r="C20" s="97">
        <f>100*'[1]Tabela 1'!C20/'[1]Tabela 3'!C$9</f>
        <v>0.67188262262580689</v>
      </c>
      <c r="D20" s="97">
        <f>100*'[1]Tabela 1'!D20/'[1]Tabela 3'!D$9</f>
        <v>0.75842513862462713</v>
      </c>
      <c r="E20" s="97">
        <f>100*'[1]Tabela 1'!E20/'[1]Tabela 3'!E$9</f>
        <v>0.78437547021991105</v>
      </c>
      <c r="F20" s="97">
        <f>100*'[1]Tabela 1'!F20/'[1]Tabela 3'!F$9</f>
        <v>0.80355502024002268</v>
      </c>
      <c r="G20" s="97">
        <f>100*'[1]Tabela 1'!G20/'[1]Tabela 3'!G$9</f>
        <v>0.82276425626632166</v>
      </c>
      <c r="H20" s="97">
        <f>100*'[1]Tabela 1'!H20/'[1]Tabela 3'!H$9</f>
        <v>0.83019119298104582</v>
      </c>
      <c r="I20" s="97">
        <f>100*'[1]Tabela 1'!I20/'[1]Tabela 3'!I$9</f>
        <v>0.84000625961399522</v>
      </c>
      <c r="J20" s="97">
        <f>100*'[1]Tabela 1'!J20/'[1]Tabela 3'!J$9</f>
        <v>0.850583193803923</v>
      </c>
      <c r="K20" s="97">
        <f>100*'[1]Tabela 1'!K20/'[1]Tabela 3'!K$9</f>
        <v>0.86152473266178642</v>
      </c>
      <c r="L20" s="97">
        <f>100*'[1]Tabela 1'!L20/'[1]Tabela 3'!L$9</f>
        <v>0.87283277566125539</v>
      </c>
      <c r="M20" s="97">
        <f>100*'[1]Tabela 1'!M20/'[1]Tabela 3'!M$9</f>
        <v>0.88493155680741364</v>
      </c>
    </row>
    <row r="21" spans="1:13">
      <c r="A21" s="53" t="s">
        <v>305</v>
      </c>
      <c r="B21" s="97">
        <f>100*'[1]Tabela 1'!B21/'[1]Tabela 3'!B$9</f>
        <v>0.19056237546120211</v>
      </c>
      <c r="C21" s="97">
        <f>100*'[1]Tabela 1'!C21/'[1]Tabela 3'!C$9</f>
        <v>0.19892313651069268</v>
      </c>
      <c r="D21" s="97">
        <f>100*'[1]Tabela 1'!D21/'[1]Tabela 3'!D$9</f>
        <v>0.19196201004737373</v>
      </c>
      <c r="E21" s="97">
        <f>100*'[1]Tabela 1'!E21/'[1]Tabela 3'!E$9</f>
        <v>0.1942992828330673</v>
      </c>
      <c r="F21" s="97">
        <f>100*'[1]Tabela 1'!F21/'[1]Tabela 3'!F$9</f>
        <v>0.19681705902408325</v>
      </c>
      <c r="G21" s="97">
        <f>100*'[1]Tabela 1'!G21/'[1]Tabela 3'!G$9</f>
        <v>0.19743317897873669</v>
      </c>
      <c r="H21" s="97">
        <f>100*'[1]Tabela 1'!H21/'[1]Tabela 3'!H$9</f>
        <v>0.19750368519000919</v>
      </c>
      <c r="I21" s="97">
        <f>100*'[1]Tabela 1'!I21/'[1]Tabela 3'!I$9</f>
        <v>0.19766256910668459</v>
      </c>
      <c r="J21" s="97">
        <f>100*'[1]Tabela 1'!J21/'[1]Tabela 3'!J$9</f>
        <v>0.19783537856800182</v>
      </c>
      <c r="K21" s="97">
        <f>100*'[1]Tabela 1'!K21/'[1]Tabela 3'!K$9</f>
        <v>0.19810445197172272</v>
      </c>
      <c r="L21" s="97">
        <f>100*'[1]Tabela 1'!L21/'[1]Tabela 3'!L$9</f>
        <v>0.19841874911050134</v>
      </c>
      <c r="M21" s="97">
        <f>100*'[1]Tabela 1'!M21/'[1]Tabela 3'!M$9</f>
        <v>0.19890106685281367</v>
      </c>
    </row>
    <row r="22" spans="1:13">
      <c r="A22" s="51" t="s">
        <v>306</v>
      </c>
      <c r="B22" s="97">
        <f>100*'[1]Tabela 1'!B22/'[1]Tabela 3'!B$9</f>
        <v>0.576842415246968</v>
      </c>
      <c r="C22" s="97">
        <f>100*'[1]Tabela 1'!C22/'[1]Tabela 3'!C$9</f>
        <v>0.6668960891239657</v>
      </c>
      <c r="D22" s="97">
        <f>100*'[1]Tabela 1'!D22/'[1]Tabela 3'!D$9</f>
        <v>0.78415053975289439</v>
      </c>
      <c r="E22" s="97">
        <f>100*'[1]Tabela 1'!E22/'[1]Tabela 3'!E$9</f>
        <v>0.80289429784123501</v>
      </c>
      <c r="F22" s="97">
        <f>100*'[1]Tabela 1'!F22/'[1]Tabela 3'!F$9</f>
        <v>0.73814200627677762</v>
      </c>
      <c r="G22" s="97">
        <f>100*'[1]Tabela 1'!G22/'[1]Tabela 3'!G$9</f>
        <v>0.72278239115453236</v>
      </c>
      <c r="H22" s="97">
        <f>100*'[1]Tabela 1'!H22/'[1]Tabela 3'!H$9</f>
        <v>0.71327819288656291</v>
      </c>
      <c r="I22" s="97">
        <f>100*'[1]Tabela 1'!I22/'[1]Tabela 3'!I$9</f>
        <v>0.70568980091361644</v>
      </c>
      <c r="J22" s="97">
        <f>100*'[1]Tabela 1'!J22/'[1]Tabela 3'!J$9</f>
        <v>0.69764189979988822</v>
      </c>
      <c r="K22" s="97">
        <f>100*'[1]Tabela 1'!K22/'[1]Tabela 3'!K$9</f>
        <v>0.69028447741296717</v>
      </c>
      <c r="L22" s="97">
        <f>100*'[1]Tabela 1'!L22/'[1]Tabela 3'!L$9</f>
        <v>0.68263548500998894</v>
      </c>
      <c r="M22" s="97">
        <f>100*'[1]Tabela 1'!M22/'[1]Tabela 3'!M$9</f>
        <v>0.67552353439352453</v>
      </c>
    </row>
    <row r="23" spans="1:13">
      <c r="A23" s="51" t="s">
        <v>307</v>
      </c>
      <c r="B23" s="97">
        <f>100*'[1]Tabela 1'!B23/'[1]Tabela 3'!B$9</f>
        <v>3.1268701728602455</v>
      </c>
      <c r="C23" s="97">
        <f>100*'[1]Tabela 1'!C23/'[1]Tabela 3'!C$9</f>
        <v>3.0259651767375395</v>
      </c>
      <c r="D23" s="97">
        <f>100*'[1]Tabela 1'!D23/'[1]Tabela 3'!D$9</f>
        <v>2.9980538151411129</v>
      </c>
      <c r="E23" s="97">
        <f>100*'[1]Tabela 1'!E23/'[1]Tabela 3'!E$9</f>
        <v>2.9978630059563769</v>
      </c>
      <c r="F23" s="97">
        <f>100*'[1]Tabela 1'!F23/'[1]Tabela 3'!F$9</f>
        <v>2.9673832761873786</v>
      </c>
      <c r="G23" s="97">
        <f>100*'[1]Tabela 1'!G23/'[1]Tabela 3'!G$9</f>
        <v>2.9660056238592269</v>
      </c>
      <c r="H23" s="97">
        <f>100*'[1]Tabela 1'!H23/'[1]Tabela 3'!H$9</f>
        <v>2.9249571689015985</v>
      </c>
      <c r="I23" s="97">
        <f>100*'[1]Tabela 1'!I23/'[1]Tabela 3'!I$9</f>
        <v>2.8790294751119614</v>
      </c>
      <c r="J23" s="97">
        <f>100*'[1]Tabela 1'!J23/'[1]Tabela 3'!J$9</f>
        <v>2.8267690432053629</v>
      </c>
      <c r="K23" s="97">
        <f>100*'[1]Tabela 1'!K23/'[1]Tabela 3'!K$9</f>
        <v>2.7695613178660299</v>
      </c>
      <c r="L23" s="97">
        <f>100*'[1]Tabela 1'!L23/'[1]Tabela 3'!L$9</f>
        <v>2.7082249863930468</v>
      </c>
      <c r="M23" s="97">
        <f>100*'[1]Tabela 1'!M23/'[1]Tabela 3'!M$9</f>
        <v>2.6458414503774605</v>
      </c>
    </row>
    <row r="24" spans="1:13">
      <c r="A24" s="51" t="s">
        <v>308</v>
      </c>
      <c r="B24" s="97">
        <f>100*'[1]Tabela 1'!B24/'[1]Tabela 3'!B$9</f>
        <v>0.88400532858240632</v>
      </c>
      <c r="C24" s="97">
        <f>100*'[1]Tabela 1'!C24/'[1]Tabela 3'!C$9</f>
        <v>0.84418959850497644</v>
      </c>
      <c r="D24" s="97">
        <f>100*'[1]Tabela 1'!D24/'[1]Tabela 3'!D$9</f>
        <v>0.85876077532211992</v>
      </c>
      <c r="E24" s="97">
        <f>100*'[1]Tabela 1'!E24/'[1]Tabela 3'!E$9</f>
        <v>0.8666438980898814</v>
      </c>
      <c r="F24" s="97">
        <f>100*'[1]Tabela 1'!F24/'[1]Tabela 3'!F$9</f>
        <v>0.86874130714230913</v>
      </c>
      <c r="G24" s="97">
        <f>100*'[1]Tabela 1'!G24/'[1]Tabela 3'!G$9</f>
        <v>0.86785101501687612</v>
      </c>
      <c r="H24" s="97">
        <f>100*'[1]Tabela 1'!H24/'[1]Tabela 3'!H$9</f>
        <v>0.85574206771449557</v>
      </c>
      <c r="I24" s="97">
        <f>100*'[1]Tabela 1'!I24/'[1]Tabela 3'!I$9</f>
        <v>0.84235386064741546</v>
      </c>
      <c r="J24" s="97">
        <f>100*'[1]Tabela 1'!J24/'[1]Tabela 3'!J$9</f>
        <v>0.82726301304867489</v>
      </c>
      <c r="K24" s="97">
        <f>100*'[1]Tabela 1'!K24/'[1]Tabela 3'!K$9</f>
        <v>0.81083811007242834</v>
      </c>
      <c r="L24" s="97">
        <f>100*'[1]Tabela 1'!L24/'[1]Tabela 3'!L$9</f>
        <v>0.79329686323828297</v>
      </c>
      <c r="M24" s="97">
        <f>100*'[1]Tabela 1'!M24/'[1]Tabela 3'!M$9</f>
        <v>0.77564729404813504</v>
      </c>
    </row>
    <row r="25" spans="1:13">
      <c r="A25" s="51" t="s">
        <v>309</v>
      </c>
      <c r="B25" s="97">
        <f>100*'[1]Tabela 1'!B25/'[1]Tabela 3'!B$9</f>
        <v>1.4198754502561322</v>
      </c>
      <c r="C25" s="97">
        <f>100*'[1]Tabela 1'!C25/'[1]Tabela 3'!C$9</f>
        <v>1.4622076367863817</v>
      </c>
      <c r="D25" s="97">
        <f>100*'[1]Tabela 1'!D25/'[1]Tabela 3'!D$9</f>
        <v>1.4578587462982935</v>
      </c>
      <c r="E25" s="97">
        <f>100*'[1]Tabela 1'!E25/'[1]Tabela 3'!E$9</f>
        <v>1.4461853261115427</v>
      </c>
      <c r="F25" s="97">
        <f>100*'[1]Tabela 1'!F25/'[1]Tabela 3'!F$9</f>
        <v>1.428299149195249</v>
      </c>
      <c r="G25" s="97">
        <f>100*'[1]Tabela 1'!G25/'[1]Tabela 3'!G$9</f>
        <v>1.4081590003206701</v>
      </c>
      <c r="H25" s="97">
        <f>100*'[1]Tabela 1'!H25/'[1]Tabela 3'!H$9</f>
        <v>1.4068720770486902</v>
      </c>
      <c r="I25" s="97">
        <f>100*'[1]Tabela 1'!I25/'[1]Tabela 3'!I$9</f>
        <v>1.3858771552137503</v>
      </c>
      <c r="J25" s="97">
        <f>100*'[1]Tabela 1'!J25/'[1]Tabela 3'!J$9</f>
        <v>1.3654976806239902</v>
      </c>
      <c r="K25" s="97">
        <f>100*'[1]Tabela 1'!K25/'[1]Tabela 3'!K$9</f>
        <v>1.3458450146838241</v>
      </c>
      <c r="L25" s="97">
        <f>100*'[1]Tabela 1'!L25/'[1]Tabela 3'!L$9</f>
        <v>1.3265195870638642</v>
      </c>
      <c r="M25" s="97">
        <f>100*'[1]Tabela 1'!M25/'[1]Tabela 3'!M$9</f>
        <v>1.3083466510432866</v>
      </c>
    </row>
    <row r="26" spans="1:13">
      <c r="A26" s="51" t="s">
        <v>310</v>
      </c>
      <c r="B26" s="97">
        <f>100*'[1]Tabela 1'!B26/'[1]Tabela 3'!B$9</f>
        <v>0</v>
      </c>
      <c r="C26" s="97">
        <f>100*'[1]Tabela 1'!C26/'[1]Tabela 3'!C$9</f>
        <v>0</v>
      </c>
      <c r="D26" s="97">
        <f>100*'[1]Tabela 1'!D26/'[1]Tabela 3'!D$9</f>
        <v>0</v>
      </c>
      <c r="E26" s="97">
        <f>100*'[1]Tabela 1'!E26/'[1]Tabela 3'!E$9</f>
        <v>0</v>
      </c>
      <c r="F26" s="97">
        <f>100*'[1]Tabela 1'!F26/'[1]Tabela 3'!F$9</f>
        <v>0</v>
      </c>
      <c r="G26" s="97">
        <f>100*'[1]Tabela 1'!G26/'[1]Tabela 3'!G$9</f>
        <v>0</v>
      </c>
      <c r="H26" s="97">
        <f>100*'[1]Tabela 1'!H26/'[1]Tabela 3'!H$9</f>
        <v>0</v>
      </c>
      <c r="I26" s="97">
        <f>100*'[1]Tabela 1'!I26/'[1]Tabela 3'!I$9</f>
        <v>0</v>
      </c>
      <c r="J26" s="97">
        <f>100*'[1]Tabela 1'!J26/'[1]Tabela 3'!J$9</f>
        <v>0</v>
      </c>
      <c r="K26" s="97">
        <f>100*'[1]Tabela 1'!K26/'[1]Tabela 3'!K$9</f>
        <v>0</v>
      </c>
      <c r="L26" s="97">
        <f>100*'[1]Tabela 1'!L26/'[1]Tabela 3'!L$9</f>
        <v>0</v>
      </c>
      <c r="M26" s="97">
        <f>100*'[1]Tabela 1'!M26/'[1]Tabela 3'!M$9</f>
        <v>0</v>
      </c>
    </row>
    <row r="27" spans="1:13">
      <c r="A27" s="51" t="s">
        <v>311</v>
      </c>
      <c r="B27" s="97">
        <f>100*'[1]Tabela 1'!B27/'[1]Tabela 3'!B$9</f>
        <v>2.9080742280386835E-2</v>
      </c>
      <c r="C27" s="97">
        <f>100*'[1]Tabela 1'!C27/'[1]Tabela 3'!C$9</f>
        <v>2.989142634185489E-2</v>
      </c>
      <c r="D27" s="97">
        <f>100*'[1]Tabela 1'!D27/'[1]Tabela 3'!D$9</f>
        <v>2.5962265499986308E-2</v>
      </c>
      <c r="E27" s="97">
        <f>100*'[1]Tabela 1'!E27/'[1]Tabela 3'!E$9</f>
        <v>2.5757639672404034E-2</v>
      </c>
      <c r="F27" s="97">
        <f>100*'[1]Tabela 1'!F27/'[1]Tabela 3'!F$9</f>
        <v>2.5521965547054687E-2</v>
      </c>
      <c r="G27" s="97">
        <f>100*'[1]Tabela 1'!G27/'[1]Tabela 3'!G$9</f>
        <v>2.5224803846089449E-2</v>
      </c>
      <c r="H27" s="97">
        <f>100*'[1]Tabela 1'!H27/'[1]Tabela 3'!H$9</f>
        <v>2.4458196254743957E-2</v>
      </c>
      <c r="I27" s="97">
        <f>100*'[1]Tabela 1'!I27/'[1]Tabela 3'!I$9</f>
        <v>2.3740129024934806E-2</v>
      </c>
      <c r="J27" s="97">
        <f>100*'[1]Tabela 1'!J27/'[1]Tabela 3'!J$9</f>
        <v>2.3055266218017786E-2</v>
      </c>
      <c r="K27" s="97">
        <f>100*'[1]Tabela 1'!K27/'[1]Tabela 3'!K$9</f>
        <v>2.2392536815154563E-2</v>
      </c>
      <c r="L27" s="97">
        <f>100*'[1]Tabela 1'!L27/'[1]Tabela 3'!L$9</f>
        <v>2.1743788011247059E-2</v>
      </c>
      <c r="M27" s="97">
        <f>100*'[1]Tabela 1'!M27/'[1]Tabela 3'!M$9</f>
        <v>2.1125571141557588E-2</v>
      </c>
    </row>
    <row r="28" spans="1:13">
      <c r="A28" s="51" t="s">
        <v>312</v>
      </c>
      <c r="B28" s="98">
        <f>100*'[1]Tabela 1'!B28/'[1]Tabela 3'!B$9</f>
        <v>0.28732701317396225</v>
      </c>
      <c r="C28" s="98">
        <f>100*'[1]Tabela 1'!C28/'[1]Tabela 3'!C$9</f>
        <v>0.46275805449260465</v>
      </c>
      <c r="D28" s="98">
        <f>100*'[1]Tabela 1'!D28/'[1]Tabela 3'!D$9</f>
        <v>0.42395536755939506</v>
      </c>
      <c r="E28" s="98">
        <f>100*'[1]Tabela 1'!E28/'[1]Tabela 3'!E$9</f>
        <v>0.3346018284662281</v>
      </c>
      <c r="F28" s="98">
        <f>100*'[1]Tabela 1'!F28/'[1]Tabela 3'!F$9</f>
        <v>0.32797425356903076</v>
      </c>
      <c r="G28" s="98">
        <f>100*'[1]Tabela 1'!G28/'[1]Tabela 3'!G$9</f>
        <v>0.3220225865036781</v>
      </c>
      <c r="H28" s="98">
        <f>100*'[1]Tabela 1'!H28/'[1]Tabela 3'!H$9</f>
        <v>0.32947311996453515</v>
      </c>
      <c r="I28" s="98">
        <f>100*'[1]Tabela 1'!I28/'[1]Tabela 3'!I$9</f>
        <v>0.36465252731565545</v>
      </c>
      <c r="J28" s="98">
        <f>100*'[1]Tabela 1'!J28/'[1]Tabela 3'!J$9</f>
        <v>0.34128234358722581</v>
      </c>
      <c r="K28" s="98">
        <f>100*'[1]Tabela 1'!K28/'[1]Tabela 3'!K$9</f>
        <v>0.34659330787676829</v>
      </c>
      <c r="L28" s="98">
        <f>100*'[1]Tabela 1'!L28/'[1]Tabela 3'!L$9</f>
        <v>0.36782298327892909</v>
      </c>
      <c r="M28" s="98">
        <f>100*'[1]Tabela 1'!M28/'[1]Tabela 3'!M$9</f>
        <v>0.34495103352043727</v>
      </c>
    </row>
    <row r="29" spans="1:13">
      <c r="A29" s="56" t="s">
        <v>313</v>
      </c>
      <c r="B29" s="97">
        <f>100*'[1]Tabela 1'!B29/'[1]Tabela 3'!B$9</f>
        <v>0</v>
      </c>
      <c r="C29" s="97">
        <f>100*'[1]Tabela 1'!C29/'[1]Tabela 3'!C$9</f>
        <v>-9.955192049669743E-5</v>
      </c>
      <c r="D29" s="97">
        <f>100*'[1]Tabela 1'!D29/'[1]Tabela 3'!D$9</f>
        <v>-7.4579224055065427E-5</v>
      </c>
      <c r="E29" s="97">
        <f>100*'[1]Tabela 1'!E29/'[1]Tabela 3'!E$9</f>
        <v>-6.9391854140906834E-5</v>
      </c>
      <c r="F29" s="97">
        <f>100*'[1]Tabela 1'!F29/'[1]Tabela 3'!F$9</f>
        <v>-6.4693646991499423E-5</v>
      </c>
      <c r="G29" s="97">
        <f>100*'[1]Tabela 1'!G29/'[1]Tabela 3'!G$9</f>
        <v>-6.03013026697674E-5</v>
      </c>
      <c r="H29" s="97">
        <f>100*'[1]Tabela 1'!H29/'[1]Tabela 3'!H$9</f>
        <v>-5.9531663041697491E-5</v>
      </c>
      <c r="I29" s="97">
        <f>100*'[1]Tabela 1'!I29/'[1]Tabela 3'!I$9</f>
        <v>-1.1457052155666066E-4</v>
      </c>
      <c r="J29" s="97">
        <f>100*'[1]Tabela 1'!J29/'[1]Tabela 3'!J$9</f>
        <v>-5.51523792672792E-5</v>
      </c>
      <c r="K29" s="97">
        <f>100*'[1]Tabela 1'!K29/'[1]Tabela 3'!K$9</f>
        <v>-5.4586831871513652E-5</v>
      </c>
      <c r="L29" s="97">
        <f>100*'[1]Tabela 1'!L29/'[1]Tabela 3'!L$9</f>
        <v>-1.0532512860173515E-4</v>
      </c>
      <c r="M29" s="97">
        <f>100*'[1]Tabela 1'!M29/'[1]Tabela 3'!M$9</f>
        <v>-5.0793349858550807E-5</v>
      </c>
    </row>
    <row r="30" spans="1:13">
      <c r="A30" s="56" t="s">
        <v>314</v>
      </c>
      <c r="B30" s="97">
        <f>100*'[1]Tabela 1'!B30/'[1]Tabela 3'!B$9</f>
        <v>5.4591001118416465</v>
      </c>
      <c r="C30" s="97">
        <f>100*'[1]Tabela 1'!C30/'[1]Tabela 3'!C$9</f>
        <v>5.5723493206243235</v>
      </c>
      <c r="D30" s="97">
        <f>100*'[1]Tabela 1'!D30/'[1]Tabela 3'!D$9</f>
        <v>5.6469504540320887</v>
      </c>
      <c r="E30" s="97">
        <f>100*'[1]Tabela 1'!E30/'[1]Tabela 3'!E$9</f>
        <v>5.6639807689977264</v>
      </c>
      <c r="F30" s="97">
        <f>100*'[1]Tabela 1'!F30/'[1]Tabela 3'!F$9</f>
        <v>5.6785605275938087</v>
      </c>
      <c r="G30" s="97">
        <f>100*'[1]Tabela 1'!G30/'[1]Tabela 3'!G$9</f>
        <v>5.6366918388223857</v>
      </c>
      <c r="H30" s="97">
        <f>100*'[1]Tabela 1'!H30/'[1]Tabela 3'!H$9</f>
        <v>5.6078130437343594</v>
      </c>
      <c r="I30" s="97">
        <f>100*'[1]Tabela 1'!I30/'[1]Tabela 3'!I$9</f>
        <v>5.5912566570818081</v>
      </c>
      <c r="J30" s="97">
        <f>100*'[1]Tabela 1'!J30/'[1]Tabela 3'!J$9</f>
        <v>5.5710186585869659</v>
      </c>
      <c r="K30" s="97">
        <f>100*'[1]Tabela 1'!K30/'[1]Tabela 3'!K$9</f>
        <v>5.5509652450909694</v>
      </c>
      <c r="L30" s="97">
        <f>100*'[1]Tabela 1'!L30/'[1]Tabela 3'!L$9</f>
        <v>5.5262523279915143</v>
      </c>
      <c r="M30" s="97">
        <f>100*'[1]Tabela 1'!M30/'[1]Tabela 3'!M$9</f>
        <v>5.5096910325086679</v>
      </c>
    </row>
    <row r="31" spans="1:13">
      <c r="A31" s="56" t="s">
        <v>315</v>
      </c>
      <c r="B31" s="97">
        <f>100*'[1]Tabela 1'!B31/'[1]Tabela 3'!B$9</f>
        <v>2.9652986020401664</v>
      </c>
      <c r="C31" s="97">
        <f>100*'[1]Tabela 1'!C31/'[1]Tabela 3'!C$9</f>
        <v>2.475478574482239</v>
      </c>
      <c r="D31" s="97">
        <f>100*'[1]Tabela 1'!D31/'[1]Tabela 3'!D$9</f>
        <v>2.2293666138158255</v>
      </c>
      <c r="E31" s="97">
        <f>100*'[1]Tabela 1'!E31/'[1]Tabela 3'!E$9</f>
        <v>2.2630368699727663</v>
      </c>
      <c r="F31" s="97">
        <f>100*'[1]Tabela 1'!F31/'[1]Tabela 3'!F$9</f>
        <v>2.213404039240737</v>
      </c>
      <c r="G31" s="97">
        <f>100*'[1]Tabela 1'!G31/'[1]Tabela 3'!G$9</f>
        <v>2.1823992847603368</v>
      </c>
      <c r="H31" s="97">
        <f>100*'[1]Tabela 1'!H31/'[1]Tabela 3'!H$9</f>
        <v>2.1730844004034009</v>
      </c>
      <c r="I31" s="97">
        <f>100*'[1]Tabela 1'!I31/'[1]Tabela 3'!I$9</f>
        <v>1.9832852760255837</v>
      </c>
      <c r="J31" s="97">
        <f>100*'[1]Tabela 1'!J31/'[1]Tabela 3'!J$9</f>
        <v>1.89237171849771</v>
      </c>
      <c r="K31" s="97">
        <f>100*'[1]Tabela 1'!K31/'[1]Tabela 3'!K$9</f>
        <v>1.753803298383009</v>
      </c>
      <c r="L31" s="97">
        <f>100*'[1]Tabela 1'!L31/'[1]Tabela 3'!L$9</f>
        <v>1.6117986339723507</v>
      </c>
      <c r="M31" s="97">
        <f>100*'[1]Tabela 1'!M31/'[1]Tabela 3'!M$9</f>
        <v>1.5756153067534822</v>
      </c>
    </row>
    <row r="32" spans="1:13">
      <c r="A32" s="51" t="s">
        <v>316</v>
      </c>
      <c r="B32" s="97">
        <f>100*'[1]Tabela 1'!B32/'[1]Tabela 3'!B$9</f>
        <v>0.14023340685931163</v>
      </c>
      <c r="C32" s="97">
        <f>100*'[1]Tabela 1'!C32/'[1]Tabela 3'!C$9</f>
        <v>5.2197509721033014E-2</v>
      </c>
      <c r="D32" s="97">
        <f>100*'[1]Tabela 1'!D32/'[1]Tabela 3'!D$9</f>
        <v>5.0136151818730129E-2</v>
      </c>
      <c r="E32" s="97">
        <f>100*'[1]Tabela 1'!E32/'[1]Tabela 3'!E$9</f>
        <v>5.3381814961526275E-2</v>
      </c>
      <c r="F32" s="97">
        <f>100*'[1]Tabela 1'!F32/'[1]Tabela 3'!F$9</f>
        <v>5.1998081624499017E-2</v>
      </c>
      <c r="G32" s="97">
        <f>100*'[1]Tabela 1'!G32/'[1]Tabela 3'!G$9</f>
        <v>5.0097905531862122E-2</v>
      </c>
      <c r="H32" s="97">
        <f>100*'[1]Tabela 1'!H32/'[1]Tabela 3'!H$9</f>
        <v>4.8232350000452354E-2</v>
      </c>
      <c r="I32" s="97">
        <f>100*'[1]Tabela 1'!I32/'[1]Tabela 3'!I$9</f>
        <v>4.6489546690715942E-2</v>
      </c>
      <c r="J32" s="97">
        <f>100*'[1]Tabela 1'!J32/'[1]Tabela 3'!J$9</f>
        <v>4.4834054610722068E-2</v>
      </c>
      <c r="K32" s="97">
        <f>100*'[1]Tabela 1'!K32/'[1]Tabela 3'!K$9</f>
        <v>4.3242863011627844E-2</v>
      </c>
      <c r="L32" s="97">
        <f>100*'[1]Tabela 1'!L32/'[1]Tabela 3'!L$9</f>
        <v>4.1699176588100434E-2</v>
      </c>
      <c r="M32" s="97">
        <f>100*'[1]Tabela 1'!M32/'[1]Tabela 3'!M$9</f>
        <v>4.0233699199362365E-2</v>
      </c>
    </row>
    <row r="33" spans="1:13">
      <c r="A33" s="51" t="s">
        <v>317</v>
      </c>
      <c r="B33" s="97">
        <f>100*'[1]Tabela 1'!B33/'[1]Tabela 3'!B$9</f>
        <v>0.61628955937937935</v>
      </c>
      <c r="C33" s="97">
        <f>100*'[1]Tabela 1'!C33/'[1]Tabela 3'!C$9</f>
        <v>0.34103661415504916</v>
      </c>
      <c r="D33" s="97">
        <f>100*'[1]Tabela 1'!D33/'[1]Tabela 3'!D$9</f>
        <v>0.26953803186304442</v>
      </c>
      <c r="E33" s="97">
        <f>100*'[1]Tabela 1'!E33/'[1]Tabela 3'!E$9</f>
        <v>0.24768721136665162</v>
      </c>
      <c r="F33" s="97">
        <f>100*'[1]Tabela 1'!F33/'[1]Tabela 3'!F$9</f>
        <v>0.22925926925981588</v>
      </c>
      <c r="G33" s="97">
        <f>100*'[1]Tabela 1'!G33/'[1]Tabela 3'!G$9</f>
        <v>0.22994717710248724</v>
      </c>
      <c r="H33" s="97">
        <f>100*'[1]Tabela 1'!H33/'[1]Tabela 3'!H$9</f>
        <v>0.22272731758313086</v>
      </c>
      <c r="I33" s="97">
        <f>100*'[1]Tabela 1'!I33/'[1]Tabela 3'!I$9</f>
        <v>0.16684293090742597</v>
      </c>
      <c r="J33" s="97">
        <f>100*'[1]Tabela 1'!J33/'[1]Tabela 3'!J$9</f>
        <v>0.21021034335864183</v>
      </c>
      <c r="K33" s="97">
        <f>100*'[1]Tabela 1'!K33/'[1]Tabela 3'!K$9</f>
        <v>0.20432571760702559</v>
      </c>
      <c r="L33" s="97">
        <f>100*'[1]Tabela 1'!L33/'[1]Tabela 3'!L$9</f>
        <v>0.15337770190471928</v>
      </c>
      <c r="M33" s="97">
        <f>100*'[1]Tabela 1'!M33/'[1]Tabela 3'!M$9</f>
        <v>0.19348181782954821</v>
      </c>
    </row>
    <row r="34" spans="1:13">
      <c r="A34" s="51" t="s">
        <v>318</v>
      </c>
      <c r="B34" s="97">
        <f>100*'[1]Tabela 1'!B34/'[1]Tabela 3'!B$9</f>
        <v>0.1583733511123763</v>
      </c>
      <c r="C34" s="97">
        <f>100*'[1]Tabela 1'!C34/'[1]Tabela 3'!C$9</f>
        <v>0.14448222795319013</v>
      </c>
      <c r="D34" s="97">
        <f>100*'[1]Tabela 1'!D34/'[1]Tabela 3'!D$9</f>
        <v>0.13501043527868456</v>
      </c>
      <c r="E34" s="97">
        <f>100*'[1]Tabela 1'!E34/'[1]Tabela 3'!E$9</f>
        <v>0.13132713913672367</v>
      </c>
      <c r="F34" s="97">
        <f>100*'[1]Tabela 1'!F34/'[1]Tabela 3'!F$9</f>
        <v>0.12568127018936182</v>
      </c>
      <c r="G34" s="97">
        <f>100*'[1]Tabela 1'!G34/'[1]Tabela 3'!G$9</f>
        <v>0.12000256561308581</v>
      </c>
      <c r="H34" s="97">
        <f>100*'[1]Tabela 1'!H34/'[1]Tabela 3'!H$9</f>
        <v>0.112889104391863</v>
      </c>
      <c r="I34" s="97">
        <f>100*'[1]Tabela 1'!I34/'[1]Tabela 3'!I$9</f>
        <v>0.10624798565888628</v>
      </c>
      <c r="J34" s="97">
        <f>100*'[1]Tabela 1'!J34/'[1]Tabela 3'!J$9</f>
        <v>9.9989685301984946E-2</v>
      </c>
      <c r="K34" s="97">
        <f>100*'[1]Tabela 1'!K34/'[1]Tabela 3'!K$9</f>
        <v>9.4050165766310229E-2</v>
      </c>
      <c r="L34" s="97">
        <f>100*'[1]Tabela 1'!L34/'[1]Tabela 3'!L$9</f>
        <v>8.8383613313896381E-2</v>
      </c>
      <c r="M34" s="97">
        <f>100*'[1]Tabela 1'!M34/'[1]Tabela 3'!M$9</f>
        <v>8.3045947859205257E-2</v>
      </c>
    </row>
    <row r="35" spans="1:13">
      <c r="A35" s="51" t="s">
        <v>319</v>
      </c>
      <c r="B35" s="97">
        <f>100*'[1]Tabela 1'!B35/'[1]Tabela 3'!B$9</f>
        <v>1.0111929686169565</v>
      </c>
      <c r="C35" s="97">
        <f>100*'[1]Tabela 1'!C35/'[1]Tabela 3'!C$9</f>
        <v>0.9609461630943249</v>
      </c>
      <c r="D35" s="97">
        <f>100*'[1]Tabela 1'!D35/'[1]Tabela 3'!D$9</f>
        <v>0.92362251431123554</v>
      </c>
      <c r="E35" s="97">
        <f>100*'[1]Tabela 1'!E35/'[1]Tabela 3'!E$9</f>
        <v>1.0008618893833623</v>
      </c>
      <c r="F35" s="97">
        <f>100*'[1]Tabela 1'!F35/'[1]Tabela 3'!F$9</f>
        <v>0.99788723975473714</v>
      </c>
      <c r="G35" s="97">
        <f>100*'[1]Tabela 1'!G35/'[1]Tabela 3'!G$9</f>
        <v>1.0041695694842101</v>
      </c>
      <c r="H35" s="97">
        <f>100*'[1]Tabela 1'!H35/'[1]Tabela 3'!H$9</f>
        <v>1.0301016034270338</v>
      </c>
      <c r="I35" s="97">
        <f>100*'[1]Tabela 1'!I35/'[1]Tabela 3'!I$9</f>
        <v>0.93162458994228481</v>
      </c>
      <c r="J35" s="97">
        <f>100*'[1]Tabela 1'!J35/'[1]Tabela 3'!J$9</f>
        <v>0.818854507145369</v>
      </c>
      <c r="K35" s="97">
        <f>100*'[1]Tabela 1'!K35/'[1]Tabela 3'!K$9</f>
        <v>0.70889057895614649</v>
      </c>
      <c r="L35" s="97">
        <f>100*'[1]Tabela 1'!L35/'[1]Tabela 3'!L$9</f>
        <v>0.64883597131597159</v>
      </c>
      <c r="M35" s="97">
        <f>100*'[1]Tabela 1'!M35/'[1]Tabela 3'!M$9</f>
        <v>0.59089282967545731</v>
      </c>
    </row>
    <row r="36" spans="1:13">
      <c r="A36" s="51" t="s">
        <v>320</v>
      </c>
      <c r="B36" s="97">
        <f>100*'[1]Tabela 1'!B36/'[1]Tabela 3'!B$9</f>
        <v>0.20009840811132423</v>
      </c>
      <c r="C36" s="97">
        <f>100*'[1]Tabela 1'!C36/'[1]Tabela 3'!C$9</f>
        <v>0.17113251502371982</v>
      </c>
      <c r="D36" s="97">
        <f>100*'[1]Tabela 1'!D36/'[1]Tabela 3'!D$9</f>
        <v>0.14568542882328134</v>
      </c>
      <c r="E36" s="97">
        <f>100*'[1]Tabela 1'!E36/'[1]Tabela 3'!E$9</f>
        <v>0.14500775580559669</v>
      </c>
      <c r="F36" s="97">
        <f>100*'[1]Tabela 1'!F36/'[1]Tabela 3'!F$9</f>
        <v>0.14381465709304037</v>
      </c>
      <c r="G36" s="97">
        <f>100*'[1]Tabela 1'!G36/'[1]Tabela 3'!G$9</f>
        <v>0.13947482132317041</v>
      </c>
      <c r="H36" s="97">
        <f>100*'[1]Tabela 1'!H36/'[1]Tabela 3'!H$9</f>
        <v>0.13150960919829036</v>
      </c>
      <c r="I36" s="97">
        <f>100*'[1]Tabela 1'!I36/'[1]Tabela 3'!I$9</f>
        <v>0.12507613252171726</v>
      </c>
      <c r="J36" s="97">
        <f>100*'[1]Tabela 1'!J36/'[1]Tabela 3'!J$9</f>
        <v>0.12077040135855177</v>
      </c>
      <c r="K36" s="97">
        <f>100*'[1]Tabela 1'!K36/'[1]Tabela 3'!K$9</f>
        <v>0.11406969943864782</v>
      </c>
      <c r="L36" s="97">
        <f>100*'[1]Tabela 1'!L36/'[1]Tabela 3'!L$9</f>
        <v>0.1085303595235995</v>
      </c>
      <c r="M36" s="97">
        <f>100*'[1]Tabela 1'!M36/'[1]Tabela 3'!M$9</f>
        <v>0.10483692818456511</v>
      </c>
    </row>
    <row r="37" spans="1:13">
      <c r="A37" s="51" t="s">
        <v>321</v>
      </c>
      <c r="B37" s="97">
        <f>100*'[1]Tabela 1'!B37/'[1]Tabela 3'!B$9</f>
        <v>0.28164320097465634</v>
      </c>
      <c r="C37" s="97">
        <f>100*'[1]Tabela 1'!C37/'[1]Tabela 3'!C$9</f>
        <v>0.28925584651600039</v>
      </c>
      <c r="D37" s="97">
        <f>100*'[1]Tabela 1'!D37/'[1]Tabela 3'!D$9</f>
        <v>0.29430570060903394</v>
      </c>
      <c r="E37" s="97">
        <f>100*'[1]Tabela 1'!E37/'[1]Tabela 3'!E$9</f>
        <v>0.29592641796486019</v>
      </c>
      <c r="F37" s="97">
        <f>100*'[1]Tabela 1'!F37/'[1]Tabela 3'!F$9</f>
        <v>0.29745329087156219</v>
      </c>
      <c r="G37" s="97">
        <f>100*'[1]Tabela 1'!G37/'[1]Tabela 3'!G$9</f>
        <v>0.29820975998777072</v>
      </c>
      <c r="H37" s="97">
        <f>100*'[1]Tabela 1'!H37/'[1]Tabela 3'!H$9</f>
        <v>0.29923677679139687</v>
      </c>
      <c r="I37" s="97">
        <f>100*'[1]Tabela 1'!I37/'[1]Tabela 3'!I$9</f>
        <v>0.30118855137639633</v>
      </c>
      <c r="J37" s="97">
        <f>100*'[1]Tabela 1'!J37/'[1]Tabela 3'!J$9</f>
        <v>0.30275276767025228</v>
      </c>
      <c r="K37" s="97">
        <f>100*'[1]Tabela 1'!K37/'[1]Tabela 3'!K$9</f>
        <v>0.30426390299667455</v>
      </c>
      <c r="L37" s="97">
        <f>100*'[1]Tabela 1'!L37/'[1]Tabela 3'!L$9</f>
        <v>0.30549447409766256</v>
      </c>
      <c r="M37" s="97">
        <f>100*'[1]Tabela 1'!M37/'[1]Tabela 3'!M$9</f>
        <v>0.30696621456961354</v>
      </c>
    </row>
    <row r="38" spans="1:13">
      <c r="A38" s="51" t="s">
        <v>322</v>
      </c>
      <c r="B38" s="97">
        <f>100*'[1]Tabela 1'!B38/'[1]Tabela 3'!B$9</f>
        <v>8.0094950547994449E-4</v>
      </c>
      <c r="C38" s="97">
        <f>100*'[1]Tabela 1'!C38/'[1]Tabela 3'!C$9</f>
        <v>3.8310901461644225E-4</v>
      </c>
      <c r="D38" s="97">
        <f>100*'[1]Tabela 1'!D38/'[1]Tabela 3'!D$9</f>
        <v>4.4202972986872132E-4</v>
      </c>
      <c r="E38" s="97">
        <f>100*'[1]Tabela 1'!E38/'[1]Tabela 3'!E$9</f>
        <v>3.9835151734939626E-4</v>
      </c>
      <c r="F38" s="97">
        <f>100*'[1]Tabela 1'!F38/'[1]Tabela 3'!F$9</f>
        <v>3.5728223005561567E-4</v>
      </c>
      <c r="G38" s="97">
        <f>100*'[1]Tabela 1'!G38/'[1]Tabela 3'!G$9</f>
        <v>3.1833167050165044E-4</v>
      </c>
      <c r="H38" s="97">
        <f>100*'[1]Tabela 1'!H38/'[1]Tabela 3'!H$9</f>
        <v>3.1390222145405189E-4</v>
      </c>
      <c r="I38" s="97">
        <f>100*'[1]Tabela 1'!I38/'[1]Tabela 3'!I$9</f>
        <v>3.2740743172266905E-4</v>
      </c>
      <c r="J38" s="97">
        <f>100*'[1]Tabela 1'!J38/'[1]Tabela 3'!J$9</f>
        <v>2.7564308456972124E-4</v>
      </c>
      <c r="K38" s="97">
        <f>100*'[1]Tabela 1'!K38/'[1]Tabela 3'!K$9</f>
        <v>2.7227464420792336E-4</v>
      </c>
      <c r="L38" s="97">
        <f>100*'[1]Tabela 1'!L38/'[1]Tabela 3'!L$9</f>
        <v>2.8409613856096686E-4</v>
      </c>
      <c r="M38" s="97">
        <f>100*'[1]Tabela 1'!M38/'[1]Tabela 3'!M$9</f>
        <v>2.3927695806702425E-4</v>
      </c>
    </row>
    <row r="39" spans="1:13">
      <c r="A39" s="51" t="s">
        <v>323</v>
      </c>
      <c r="B39" s="97">
        <f>100*'[1]Tabela 1'!B39/'[1]Tabela 3'!B$9</f>
        <v>0.55666675748068173</v>
      </c>
      <c r="C39" s="97">
        <f>100*'[1]Tabela 1'!C39/'[1]Tabela 3'!C$9</f>
        <v>0.51604458900430472</v>
      </c>
      <c r="D39" s="97">
        <f>100*'[1]Tabela 1'!D39/'[1]Tabela 3'!D$9</f>
        <v>0.41062632138194682</v>
      </c>
      <c r="E39" s="97">
        <f>100*'[1]Tabela 1'!E39/'[1]Tabela 3'!E$9</f>
        <v>0.38844628983669671</v>
      </c>
      <c r="F39" s="97">
        <f>100*'[1]Tabela 1'!F39/'[1]Tabela 3'!F$9</f>
        <v>0.366952948217665</v>
      </c>
      <c r="G39" s="97">
        <f>100*'[1]Tabela 1'!G39/'[1]Tabela 3'!G$9</f>
        <v>0.34017915404724897</v>
      </c>
      <c r="H39" s="97">
        <f>100*'[1]Tabela 1'!H39/'[1]Tabela 3'!H$9</f>
        <v>0.32807373678977941</v>
      </c>
      <c r="I39" s="97">
        <f>100*'[1]Tabela 1'!I39/'[1]Tabela 3'!I$9</f>
        <v>0.30548813149643472</v>
      </c>
      <c r="J39" s="97">
        <f>100*'[1]Tabela 1'!J39/'[1]Tabela 3'!J$9</f>
        <v>0.29468431596761846</v>
      </c>
      <c r="K39" s="97">
        <f>100*'[1]Tabela 1'!K39/'[1]Tabela 3'!K$9</f>
        <v>0.28468809596236866</v>
      </c>
      <c r="L39" s="97">
        <f>100*'[1]Tabela 1'!L39/'[1]Tabela 3'!L$9</f>
        <v>0.26519324108983983</v>
      </c>
      <c r="M39" s="97">
        <f>100*'[1]Tabela 1'!M39/'[1]Tabela 3'!M$9</f>
        <v>0.25591859247766319</v>
      </c>
    </row>
    <row r="40" spans="1:13" ht="18.75" thickBot="1">
      <c r="A40" s="56" t="s">
        <v>373</v>
      </c>
      <c r="B40" s="97">
        <f>100*'[1]Tabela 1'!B40/'[1]Tabela 3'!B$9</f>
        <v>0</v>
      </c>
      <c r="C40" s="97">
        <f>100*'[1]Tabela 1'!C40/'[1]Tabela 3'!C$9</f>
        <v>0.21624972581300772</v>
      </c>
      <c r="D40" s="97">
        <f>100*'[1]Tabela 1'!D40/'[1]Tabela 3'!D$9</f>
        <v>0.52980776763776216</v>
      </c>
      <c r="E40" s="97">
        <f>100*'[1]Tabela 1'!E40/'[1]Tabela 3'!E$9</f>
        <v>0.59634885976283791</v>
      </c>
      <c r="F40" s="97">
        <f>100*'[1]Tabela 1'!F40/'[1]Tabela 3'!F$9</f>
        <v>1.0092177906855933</v>
      </c>
      <c r="G40" s="97">
        <f>100*'[1]Tabela 1'!G40/'[1]Tabela 3'!G$9</f>
        <v>1.2234712553875622</v>
      </c>
      <c r="H40" s="97">
        <f>100*'[1]Tabela 1'!H40/'[1]Tabela 3'!H$9</f>
        <v>1.1893366023373186</v>
      </c>
      <c r="I40" s="97">
        <f>100*'[1]Tabela 1'!I40/'[1]Tabela 3'!I$9</f>
        <v>1.2770476149418792</v>
      </c>
      <c r="J40" s="97">
        <f>100*'[1]Tabela 1'!J40/'[1]Tabela 3'!J$9</f>
        <v>1.4061802658525009</v>
      </c>
      <c r="K40" s="97">
        <f>100*'[1]Tabela 1'!K40/'[1]Tabela 3'!K$9</f>
        <v>1.0430753312317662</v>
      </c>
      <c r="L40" s="97">
        <f>100*'[1]Tabela 1'!L40/'[1]Tabela 3'!L$9</f>
        <v>0.80691190986211125</v>
      </c>
      <c r="M40" s="97">
        <f>100*'[1]Tabela 1'!M40/'[1]Tabela 3'!M$9</f>
        <v>0.47925931717729542</v>
      </c>
    </row>
    <row r="41" spans="1:13" ht="23.25" customHeight="1" thickBot="1">
      <c r="A41" s="47" t="s">
        <v>325</v>
      </c>
      <c r="B41" s="95">
        <f>100*'[1]Tabela 1'!B41/'[1]Tabela 3'!B$9</f>
        <v>4.4075503132215319</v>
      </c>
      <c r="C41" s="95">
        <f>100*'[1]Tabela 1'!C41/'[1]Tabela 3'!C$9</f>
        <v>4.5621271472406617</v>
      </c>
      <c r="D41" s="95">
        <f>100*'[1]Tabela 1'!D41/'[1]Tabela 3'!D$9</f>
        <v>4.5443097165774073</v>
      </c>
      <c r="E41" s="95">
        <f>100*'[1]Tabela 1'!E41/'[1]Tabela 3'!E$9</f>
        <v>4.4070096080371046</v>
      </c>
      <c r="F41" s="95">
        <f>100*'[1]Tabela 1'!F41/'[1]Tabela 3'!F$9</f>
        <v>4.2701848684242689</v>
      </c>
      <c r="G41" s="95">
        <f>100*'[1]Tabela 1'!G41/'[1]Tabela 3'!G$9</f>
        <v>4.2008787725892782</v>
      </c>
      <c r="H41" s="95">
        <f>100*'[1]Tabela 1'!H41/'[1]Tabela 3'!H$9</f>
        <v>4.1721211368584399</v>
      </c>
      <c r="I41" s="95">
        <f>100*'[1]Tabela 1'!I41/'[1]Tabela 3'!I$9</f>
        <v>4.2000263894320069</v>
      </c>
      <c r="J41" s="95">
        <f>100*'[1]Tabela 1'!J41/'[1]Tabela 3'!J$9</f>
        <v>4.1562223218536332</v>
      </c>
      <c r="K41" s="95">
        <f>100*'[1]Tabela 1'!K41/'[1]Tabela 3'!K$9</f>
        <v>4.1203892507479027</v>
      </c>
      <c r="L41" s="95">
        <f>100*'[1]Tabela 1'!L41/'[1]Tabela 3'!L$9</f>
        <v>4.0853532991340238</v>
      </c>
      <c r="M41" s="95">
        <f>100*'[1]Tabela 1'!M41/'[1]Tabela 3'!M$9</f>
        <v>4.0502809949980287</v>
      </c>
    </row>
    <row r="42" spans="1:13">
      <c r="A42" s="49" t="s">
        <v>326</v>
      </c>
      <c r="B42" s="96">
        <f>100*'[1]Tabela 1'!B42/'[1]Tabela 3'!B$9</f>
        <v>3.5077912961109154</v>
      </c>
      <c r="C42" s="96">
        <f>100*'[1]Tabela 1'!C42/'[1]Tabela 3'!C$9</f>
        <v>3.6215021988421543</v>
      </c>
      <c r="D42" s="96">
        <f>100*'[1]Tabela 1'!D42/'[1]Tabela 3'!D$9</f>
        <v>3.6633832117739304</v>
      </c>
      <c r="E42" s="96">
        <f>100*'[1]Tabela 1'!E42/'[1]Tabela 3'!E$9</f>
        <v>3.5831806742469978</v>
      </c>
      <c r="F42" s="96">
        <f>100*'[1]Tabela 1'!F42/'[1]Tabela 3'!F$9</f>
        <v>3.4916686433300299</v>
      </c>
      <c r="G42" s="96">
        <f>100*'[1]Tabela 1'!G42/'[1]Tabela 3'!G$9</f>
        <v>3.4489431461949906</v>
      </c>
      <c r="H42" s="96">
        <f>100*'[1]Tabela 1'!H42/'[1]Tabela 3'!H$9</f>
        <v>3.4674245195253319</v>
      </c>
      <c r="I42" s="96">
        <f>100*'[1]Tabela 1'!I42/'[1]Tabela 3'!I$9</f>
        <v>3.5279481636353691</v>
      </c>
      <c r="J42" s="96">
        <f>100*'[1]Tabela 1'!J42/'[1]Tabela 3'!J$9</f>
        <v>3.5251765116208826</v>
      </c>
      <c r="K42" s="96">
        <f>100*'[1]Tabela 1'!K42/'[1]Tabela 3'!K$9</f>
        <v>3.5272076466077795</v>
      </c>
      <c r="L42" s="96">
        <f>100*'[1]Tabela 1'!L42/'[1]Tabela 3'!L$9</f>
        <v>3.5157102671800633</v>
      </c>
      <c r="M42" s="96">
        <f>100*'[1]Tabela 1'!M42/'[1]Tabela 3'!M$9</f>
        <v>3.5056032695906598</v>
      </c>
    </row>
    <row r="43" spans="1:13">
      <c r="A43" s="56" t="s">
        <v>327</v>
      </c>
      <c r="B43" s="97">
        <f>100*'[1]Tabela 1'!B43/'[1]Tabela 3'!B$9</f>
        <v>0.11021596824543679</v>
      </c>
      <c r="C43" s="97">
        <f>100*'[1]Tabela 1'!C43/'[1]Tabela 3'!C$9</f>
        <v>0.14576736904342863</v>
      </c>
      <c r="D43" s="97">
        <f>100*'[1]Tabela 1'!D43/'[1]Tabela 3'!D$9</f>
        <v>0.11497634459091516</v>
      </c>
      <c r="E43" s="97">
        <f>100*'[1]Tabela 1'!E43/'[1]Tabela 3'!E$9</f>
        <v>9.9722675073070213E-2</v>
      </c>
      <c r="F43" s="97">
        <f>100*'[1]Tabela 1'!F43/'[1]Tabela 3'!F$9</f>
        <v>8.9062762807030627E-2</v>
      </c>
      <c r="G43" s="97">
        <f>100*'[1]Tabela 1'!G43/'[1]Tabela 3'!G$9</f>
        <v>8.3286510145710382E-2</v>
      </c>
      <c r="H43" s="97">
        <f>100*'[1]Tabela 1'!H43/'[1]Tabela 3'!H$9</f>
        <v>8.3264529507116047E-2</v>
      </c>
      <c r="I43" s="97">
        <f>100*'[1]Tabela 1'!I43/'[1]Tabela 3'!I$9</f>
        <v>8.464123358286034E-2</v>
      </c>
      <c r="J43" s="97">
        <f>100*'[1]Tabela 1'!J43/'[1]Tabela 3'!J$9</f>
        <v>8.6111976694467393E-2</v>
      </c>
      <c r="K43" s="97">
        <f>100*'[1]Tabela 1'!K43/'[1]Tabela 3'!K$9</f>
        <v>8.760143098884339E-2</v>
      </c>
      <c r="L43" s="97">
        <f>100*'[1]Tabela 1'!L43/'[1]Tabela 3'!L$9</f>
        <v>8.9092977756904709E-2</v>
      </c>
      <c r="M43" s="97">
        <f>100*'[1]Tabela 1'!M43/'[1]Tabela 3'!M$9</f>
        <v>9.0371536246154002E-2</v>
      </c>
    </row>
    <row r="44" spans="1:13">
      <c r="A44" s="54" t="s">
        <v>328</v>
      </c>
      <c r="B44" s="97">
        <f>100*'[1]Tabela 1'!B44/'[1]Tabela 3'!B$9</f>
        <v>0.22002803172455687</v>
      </c>
      <c r="C44" s="97">
        <f>100*'[1]Tabela 1'!C44/'[1]Tabela 3'!C$9</f>
        <v>0.2262012956197258</v>
      </c>
      <c r="D44" s="97">
        <f>100*'[1]Tabela 1'!D44/'[1]Tabela 3'!D$9</f>
        <v>0.22918217617656692</v>
      </c>
      <c r="E44" s="97">
        <f>100*'[1]Tabela 1'!E44/'[1]Tabela 3'!E$9</f>
        <v>0.22416497590627307</v>
      </c>
      <c r="F44" s="97">
        <f>100*'[1]Tabela 1'!F44/'[1]Tabela 3'!F$9</f>
        <v>0.2184551437246692</v>
      </c>
      <c r="G44" s="97">
        <f>100*'[1]Tabela 1'!G44/'[1]Tabela 3'!G$9</f>
        <v>0.21585861232766951</v>
      </c>
      <c r="H44" s="97">
        <f>100*'[1]Tabela 1'!H44/'[1]Tabela 3'!H$9</f>
        <v>0.21707178570775257</v>
      </c>
      <c r="I44" s="97">
        <f>100*'[1]Tabela 1'!I44/'[1]Tabela 3'!I$9</f>
        <v>0.22096186374130974</v>
      </c>
      <c r="J44" s="97">
        <f>100*'[1]Tabela 1'!J44/'[1]Tabela 3'!J$9</f>
        <v>0.2208049731914288</v>
      </c>
      <c r="K44" s="97">
        <f>100*'[1]Tabela 1'!K44/'[1]Tabela 3'!K$9</f>
        <v>0.22094990542404674</v>
      </c>
      <c r="L44" s="97">
        <f>100*'[1]Tabela 1'!L44/'[1]Tabela 3'!L$9</f>
        <v>0.22022753743459589</v>
      </c>
      <c r="M44" s="97">
        <f>100*'[1]Tabela 1'!M44/'[1]Tabela 3'!M$9</f>
        <v>0.21958985576849313</v>
      </c>
    </row>
    <row r="45" spans="1:13">
      <c r="A45" s="54" t="s">
        <v>329</v>
      </c>
      <c r="B45" s="97">
        <f>100*'[1]Tabela 1'!B45/'[1]Tabela 3'!B$9</f>
        <v>-0.10981206347912011</v>
      </c>
      <c r="C45" s="97">
        <f>100*'[1]Tabela 1'!C45/'[1]Tabela 3'!C$9</f>
        <v>-8.0433926576297166E-2</v>
      </c>
      <c r="D45" s="97">
        <f>100*'[1]Tabela 1'!D45/'[1]Tabela 3'!D$9</f>
        <v>-0.1142058315856518</v>
      </c>
      <c r="E45" s="97">
        <f>100*'[1]Tabela 1'!E45/'[1]Tabela 3'!E$9</f>
        <v>-0.12444230083320282</v>
      </c>
      <c r="F45" s="97">
        <f>100*'[1]Tabela 1'!F45/'[1]Tabela 3'!F$9</f>
        <v>-0.12939238091763855</v>
      </c>
      <c r="G45" s="97">
        <f>100*'[1]Tabela 1'!G45/'[1]Tabela 3'!G$9</f>
        <v>-0.13257210218195917</v>
      </c>
      <c r="H45" s="97">
        <f>100*'[1]Tabela 1'!H45/'[1]Tabela 3'!H$9</f>
        <v>-0.13380725620063655</v>
      </c>
      <c r="I45" s="97">
        <f>100*'[1]Tabela 1'!I45/'[1]Tabela 3'!I$9</f>
        <v>-0.13632063015844942</v>
      </c>
      <c r="J45" s="97">
        <f>100*'[1]Tabela 1'!J45/'[1]Tabela 3'!J$9</f>
        <v>-0.1346929964969614</v>
      </c>
      <c r="K45" s="97">
        <f>100*'[1]Tabela 1'!K45/'[1]Tabela 3'!K$9</f>
        <v>-0.13334847443520337</v>
      </c>
      <c r="L45" s="97">
        <f>100*'[1]Tabela 1'!L45/'[1]Tabela 3'!L$9</f>
        <v>-0.13113455967769116</v>
      </c>
      <c r="M45" s="97">
        <f>100*'[1]Tabela 1'!M45/'[1]Tabela 3'!M$9</f>
        <v>-0.12921831952233909</v>
      </c>
    </row>
    <row r="46" spans="1:13">
      <c r="A46" s="56" t="s">
        <v>330</v>
      </c>
      <c r="B46" s="97">
        <f>100*'[1]Tabela 1'!B46/'[1]Tabela 3'!B$9</f>
        <v>0.16664520691640061</v>
      </c>
      <c r="C46" s="97">
        <f>100*'[1]Tabela 1'!C46/'[1]Tabela 3'!C$9</f>
        <v>0.1789142279938043</v>
      </c>
      <c r="D46" s="97">
        <f>100*'[1]Tabela 1'!D46/'[1]Tabela 3'!D$9</f>
        <v>0.17938363861650666</v>
      </c>
      <c r="E46" s="97">
        <f>100*'[1]Tabela 1'!E46/'[1]Tabela 3'!E$9</f>
        <v>0.17815912048174054</v>
      </c>
      <c r="F46" s="97">
        <f>100*'[1]Tabela 1'!F46/'[1]Tabela 3'!F$9</f>
        <v>0.17715810706437643</v>
      </c>
      <c r="G46" s="97">
        <f>100*'[1]Tabela 1'!G46/'[1]Tabela 3'!G$9</f>
        <v>0.17594375839278467</v>
      </c>
      <c r="H46" s="97">
        <f>100*'[1]Tabela 1'!H46/'[1]Tabela 3'!H$9</f>
        <v>0.17654969830692416</v>
      </c>
      <c r="I46" s="97">
        <f>100*'[1]Tabela 1'!I46/'[1]Tabela 3'!I$9</f>
        <v>0.17770124531207385</v>
      </c>
      <c r="J46" s="97">
        <f>100*'[1]Tabela 1'!J46/'[1]Tabela 3'!J$9</f>
        <v>0.17862413292544879</v>
      </c>
      <c r="K46" s="97">
        <f>100*'[1]Tabela 1'!K46/'[1]Tabela 3'!K$9</f>
        <v>0.17951570276803794</v>
      </c>
      <c r="L46" s="97">
        <f>100*'[1]Tabela 1'!L46/'[1]Tabela 3'!L$9</f>
        <v>0.18024173971762092</v>
      </c>
      <c r="M46" s="97">
        <f>100*'[1]Tabela 1'!M46/'[1]Tabela 3'!M$9</f>
        <v>0.18111006659607198</v>
      </c>
    </row>
    <row r="47" spans="1:13">
      <c r="A47" s="56" t="s">
        <v>331</v>
      </c>
      <c r="B47" s="97">
        <f>100*'[1]Tabela 1'!B47/'[1]Tabela 3'!B$9</f>
        <v>0.58603106773500235</v>
      </c>
      <c r="C47" s="97">
        <f>100*'[1]Tabela 1'!C47/'[1]Tabela 3'!C$9</f>
        <v>0.57293775987245199</v>
      </c>
      <c r="D47" s="97">
        <f>100*'[1]Tabela 1'!D47/'[1]Tabela 3'!D$9</f>
        <v>0.54645787387724509</v>
      </c>
      <c r="E47" s="97">
        <f>100*'[1]Tabela 1'!E47/'[1]Tabela 3'!E$9</f>
        <v>0.50805201371861786</v>
      </c>
      <c r="F47" s="97">
        <f>100*'[1]Tabela 1'!F47/'[1]Tabela 3'!F$9</f>
        <v>0.47652026099703509</v>
      </c>
      <c r="G47" s="97">
        <f>100*'[1]Tabela 1'!G47/'[1]Tabela 3'!G$9</f>
        <v>0.45897859657332357</v>
      </c>
      <c r="H47" s="97">
        <f>100*'[1]Tabela 1'!H47/'[1]Tabela 3'!H$9</f>
        <v>0.43853696231110617</v>
      </c>
      <c r="I47" s="97">
        <f>100*'[1]Tabela 1'!I47/'[1]Tabela 3'!I$9</f>
        <v>0.40358749219796314</v>
      </c>
      <c r="J47" s="97">
        <f>100*'[1]Tabela 1'!J47/'[1]Tabela 3'!J$9</f>
        <v>0.36034929969716184</v>
      </c>
      <c r="K47" s="97">
        <f>100*'[1]Tabela 1'!K47/'[1]Tabela 3'!K$9</f>
        <v>0.32028551422753443</v>
      </c>
      <c r="L47" s="97">
        <f>100*'[1]Tabela 1'!L47/'[1]Tabela 3'!L$9</f>
        <v>0.2947065313764981</v>
      </c>
      <c r="M47" s="97">
        <f>100*'[1]Tabela 1'!M47/'[1]Tabela 3'!M$9</f>
        <v>0.26776300967802935</v>
      </c>
    </row>
    <row r="48" spans="1:13">
      <c r="A48" s="56" t="s">
        <v>332</v>
      </c>
      <c r="B48" s="97">
        <f>100*'[1]Tabela 1'!B48/'[1]Tabela 3'!B$9</f>
        <v>8.3374099775422802E-3</v>
      </c>
      <c r="C48" s="97">
        <f>100*'[1]Tabela 1'!C48/'[1]Tabela 3'!C$9</f>
        <v>8.0685854219830506E-3</v>
      </c>
      <c r="D48" s="97">
        <f>100*'[1]Tabela 1'!D48/'[1]Tabela 3'!D$9</f>
        <v>6.6625314983746768E-3</v>
      </c>
      <c r="E48" s="97">
        <f>100*'[1]Tabela 1'!E48/'[1]Tabela 3'!E$9</f>
        <v>6.0923725143522227E-3</v>
      </c>
      <c r="F48" s="97">
        <f>100*'[1]Tabela 1'!F48/'[1]Tabela 3'!F$9</f>
        <v>5.5835105797982084E-3</v>
      </c>
      <c r="G48" s="97">
        <f>100*'[1]Tabela 1'!G48/'[1]Tabela 3'!G$9</f>
        <v>5.1206351807561576E-3</v>
      </c>
      <c r="H48" s="97">
        <f>100*'[1]Tabela 1'!H48/'[1]Tabela 3'!H$9</f>
        <v>4.965013839713023E-3</v>
      </c>
      <c r="I48" s="97">
        <f>100*'[1]Tabela 1'!I48/'[1]Tabela 3'!I$9</f>
        <v>4.8192461920617633E-3</v>
      </c>
      <c r="J48" s="97">
        <f>100*'[1]Tabela 1'!J48/'[1]Tabela 3'!J$9</f>
        <v>4.6802190422576091E-3</v>
      </c>
      <c r="K48" s="97">
        <f>100*'[1]Tabela 1'!K48/'[1]Tabela 3'!K$9</f>
        <v>4.5456849734763754E-3</v>
      </c>
      <c r="L48" s="97">
        <f>100*'[1]Tabela 1'!L48/'[1]Tabela 3'!L$9</f>
        <v>4.413988966283154E-3</v>
      </c>
      <c r="M48" s="97">
        <f>100*'[1]Tabela 1'!M48/'[1]Tabela 3'!M$9</f>
        <v>4.2884909417361897E-3</v>
      </c>
    </row>
    <row r="49" spans="1:13" ht="16.5" thickBot="1">
      <c r="A49" s="56" t="s">
        <v>333</v>
      </c>
      <c r="B49" s="97">
        <f>100*'[1]Tabela 1'!B49/'[1]Tabela 3'!B$9</f>
        <v>2.8529364236234016E-2</v>
      </c>
      <c r="C49" s="97">
        <f>100*'[1]Tabela 1'!C49/'[1]Tabela 3'!C$9</f>
        <v>3.4937006066839249E-2</v>
      </c>
      <c r="D49" s="97">
        <f>100*'[1]Tabela 1'!D49/'[1]Tabela 3'!D$9</f>
        <v>3.3446116220435543E-2</v>
      </c>
      <c r="E49" s="97">
        <f>100*'[1]Tabela 1'!E49/'[1]Tabela 3'!E$9</f>
        <v>3.1802752002326108E-2</v>
      </c>
      <c r="F49" s="97">
        <f>100*'[1]Tabela 1'!F49/'[1]Tabela 3'!F$9</f>
        <v>3.0191583646000185E-2</v>
      </c>
      <c r="G49" s="97">
        <f>100*'[1]Tabela 1'!G49/'[1]Tabela 3'!G$9</f>
        <v>2.8606126101713401E-2</v>
      </c>
      <c r="H49" s="97">
        <f>100*'[1]Tabela 1'!H49/'[1]Tabela 3'!H$9</f>
        <v>1.3804133682487852E-3</v>
      </c>
      <c r="I49" s="97">
        <f>100*'[1]Tabela 1'!I49/'[1]Tabela 3'!I$9</f>
        <v>1.3290085116786168E-3</v>
      </c>
      <c r="J49" s="97">
        <f>100*'[1]Tabela 1'!J49/'[1]Tabela 3'!J$9</f>
        <v>1.280181873413997E-3</v>
      </c>
      <c r="K49" s="97">
        <f>100*'[1]Tabela 1'!K49/'[1]Tabela 3'!K$9</f>
        <v>1.2332711822321599E-3</v>
      </c>
      <c r="L49" s="97">
        <f>100*'[1]Tabela 1'!L49/'[1]Tabela 3'!L$9</f>
        <v>1.18779413665341E-3</v>
      </c>
      <c r="M49" s="97">
        <f>100*'[1]Tabela 1'!M49/'[1]Tabela 3'!M$9</f>
        <v>1.1446219453771292E-3</v>
      </c>
    </row>
    <row r="50" spans="1:13" ht="23.25" customHeight="1" thickBot="1">
      <c r="A50" s="47" t="s">
        <v>334</v>
      </c>
      <c r="B50" s="95">
        <f>100*'[1]Tabela 1'!B50/'[1]Tabela 3'!B$9</f>
        <v>18.406479124073954</v>
      </c>
      <c r="C50" s="95">
        <f>100*'[1]Tabela 1'!C50/'[1]Tabela 3'!C$9</f>
        <v>18.460346900107634</v>
      </c>
      <c r="D50" s="95">
        <f>100*'[1]Tabela 1'!D50/'[1]Tabela 3'!D$9</f>
        <v>18.773070994933043</v>
      </c>
      <c r="E50" s="95">
        <f>100*'[1]Tabela 1'!E50/'[1]Tabela 3'!E$9</f>
        <v>18.789794427636625</v>
      </c>
      <c r="F50" s="95">
        <f>100*'[1]Tabela 1'!F50/'[1]Tabela 3'!F$9</f>
        <v>19.006155103537946</v>
      </c>
      <c r="G50" s="95">
        <f>100*'[1]Tabela 1'!G50/'[1]Tabela 3'!G$9</f>
        <v>19.096914648952712</v>
      </c>
      <c r="H50" s="95">
        <f>100*'[1]Tabela 1'!H50/'[1]Tabela 3'!H$9</f>
        <v>19.054291315914273</v>
      </c>
      <c r="I50" s="95">
        <f>100*'[1]Tabela 1'!I50/'[1]Tabela 3'!I$9</f>
        <v>19.008558357437327</v>
      </c>
      <c r="J50" s="95">
        <f>100*'[1]Tabela 1'!J50/'[1]Tabela 3'!J$9</f>
        <v>18.974689807381672</v>
      </c>
      <c r="K50" s="95">
        <f>100*'[1]Tabela 1'!K50/'[1]Tabela 3'!K$9</f>
        <v>18.429992031410585</v>
      </c>
      <c r="L50" s="95">
        <f>100*'[1]Tabela 1'!L50/'[1]Tabela 3'!L$9</f>
        <v>17.988284384857604</v>
      </c>
      <c r="M50" s="95">
        <f>100*'[1]Tabela 1'!M50/'[1]Tabela 3'!M$9</f>
        <v>17.530934864198919</v>
      </c>
    </row>
    <row r="51" spans="1:13" ht="23.25" customHeight="1" thickBot="1">
      <c r="A51" s="47" t="s">
        <v>335</v>
      </c>
      <c r="B51" s="95">
        <f>100*'[1]Tabela 1'!B51/'[1]Tabela 3'!B$9</f>
        <v>18.77700548347568</v>
      </c>
      <c r="C51" s="95">
        <f>100*'[1]Tabela 1'!C51/'[1]Tabela 3'!C$9</f>
        <v>18.816478428584858</v>
      </c>
      <c r="D51" s="95">
        <f>100*'[1]Tabela 1'!D51/'[1]Tabela 3'!D$9</f>
        <v>18.96606228357523</v>
      </c>
      <c r="E51" s="95">
        <f>100*'[1]Tabela 1'!E51/'[1]Tabela 3'!E$9</f>
        <v>18.289794427636618</v>
      </c>
      <c r="F51" s="95">
        <f>100*'[1]Tabela 1'!F51/'[1]Tabela 3'!F$9</f>
        <v>18.006155103537949</v>
      </c>
      <c r="G51" s="95">
        <f>100*'[1]Tabela 1'!G51/'[1]Tabela 3'!G$9</f>
        <v>17.846914648952712</v>
      </c>
      <c r="H51" s="95">
        <f>100*'[1]Tabela 1'!H51/'[1]Tabela 3'!H$9</f>
        <v>17.804291315914277</v>
      </c>
      <c r="I51" s="95">
        <f>100*'[1]Tabela 1'!I51/'[1]Tabela 3'!I$9</f>
        <v>17.758558357437327</v>
      </c>
      <c r="J51" s="95">
        <f>100*'[1]Tabela 1'!J51/'[1]Tabela 3'!J$9</f>
        <v>17.724689807381669</v>
      </c>
      <c r="K51" s="95">
        <f>100*'[1]Tabela 1'!K51/'[1]Tabela 3'!K$9</f>
        <v>17.179992031410585</v>
      </c>
      <c r="L51" s="95">
        <f>100*'[1]Tabela 1'!L51/'[1]Tabela 3'!L$9</f>
        <v>16.738284384857604</v>
      </c>
      <c r="M51" s="95">
        <f>100*'[1]Tabela 1'!M51/'[1]Tabela 3'!M$9</f>
        <v>16.280934864198919</v>
      </c>
    </row>
    <row r="52" spans="1:13">
      <c r="A52" s="49" t="s">
        <v>336</v>
      </c>
      <c r="B52" s="96">
        <f>100*'[1]Tabela 1'!B52/'[1]Tabela 3'!B$9</f>
        <v>7.9891459750122866</v>
      </c>
      <c r="C52" s="96">
        <f>100*'[1]Tabela 1'!C52/'[1]Tabela 3'!C$9</f>
        <v>8.1093840602430092</v>
      </c>
      <c r="D52" s="96">
        <f>100*'[1]Tabela 1'!D52/'[1]Tabela 3'!D$9</f>
        <v>8.1418697821103763</v>
      </c>
      <c r="E52" s="96">
        <f>100*'[1]Tabela 1'!E52/'[1]Tabela 3'!E$9</f>
        <v>8.0370848008401428</v>
      </c>
      <c r="F52" s="96">
        <f>100*'[1]Tabela 1'!F52/'[1]Tabela 3'!F$9</f>
        <v>7.9581286185509823</v>
      </c>
      <c r="G52" s="96">
        <f>100*'[1]Tabela 1'!G52/'[1]Tabela 3'!G$9</f>
        <v>7.8866426231038851</v>
      </c>
      <c r="H52" s="96">
        <f>100*'[1]Tabela 1'!H52/'[1]Tabela 3'!H$9</f>
        <v>7.8477794377598418</v>
      </c>
      <c r="I52" s="96">
        <f>100*'[1]Tabela 1'!I52/'[1]Tabela 3'!I$9</f>
        <v>7.8153612977037881</v>
      </c>
      <c r="J52" s="96">
        <f>100*'[1]Tabela 1'!J52/'[1]Tabela 3'!J$9</f>
        <v>7.7987399239982285</v>
      </c>
      <c r="K52" s="96">
        <f>100*'[1]Tabela 1'!K52/'[1]Tabela 3'!K$9</f>
        <v>7.7850329706809935</v>
      </c>
      <c r="L52" s="96">
        <f>100*'[1]Tabela 1'!L52/'[1]Tabela 3'!L$9</f>
        <v>7.7777549871512628</v>
      </c>
      <c r="M52" s="96">
        <f>100*'[1]Tabela 1'!M52/'[1]Tabela 3'!M$9</f>
        <v>7.7736577293166214</v>
      </c>
    </row>
    <row r="53" spans="1:13">
      <c r="A53" s="56" t="s">
        <v>337</v>
      </c>
      <c r="B53" s="97">
        <f>100*'[1]Tabela 1'!B53/'[1]Tabela 3'!B$9</f>
        <v>3.1186979188322406</v>
      </c>
      <c r="C53" s="97">
        <f>100*'[1]Tabela 1'!C53/'[1]Tabela 3'!C$9</f>
        <v>3.2345870608818617</v>
      </c>
      <c r="D53" s="97">
        <f>100*'[1]Tabela 1'!D53/'[1]Tabela 3'!D$9</f>
        <v>3.1870810776092307</v>
      </c>
      <c r="E53" s="97">
        <f>100*'[1]Tabela 1'!E53/'[1]Tabela 3'!E$9</f>
        <v>3.1126710872156602</v>
      </c>
      <c r="F53" s="97">
        <f>100*'[1]Tabela 1'!F53/'[1]Tabela 3'!F$9</f>
        <v>3.0073126238692764</v>
      </c>
      <c r="G53" s="97">
        <f>100*'[1]Tabela 1'!G53/'[1]Tabela 3'!G$9</f>
        <v>2.9024453366804002</v>
      </c>
      <c r="H53" s="97">
        <f>100*'[1]Tabela 1'!H53/'[1]Tabela 3'!H$9</f>
        <v>2.8073700092026792</v>
      </c>
      <c r="I53" s="97">
        <f>100*'[1]Tabela 1'!I53/'[1]Tabela 3'!I$9</f>
        <v>2.7175856543144059</v>
      </c>
      <c r="J53" s="97">
        <f>100*'[1]Tabela 1'!J53/'[1]Tabela 3'!J$9</f>
        <v>2.6316392142356348</v>
      </c>
      <c r="K53" s="97">
        <f>100*'[1]Tabela 1'!K53/'[1]Tabela 3'!K$9</f>
        <v>2.5488664889138155</v>
      </c>
      <c r="L53" s="97">
        <f>100*'[1]Tabela 1'!L53/'[1]Tabela 3'!L$9</f>
        <v>2.4647612176892317</v>
      </c>
      <c r="M53" s="97">
        <f>100*'[1]Tabela 1'!M53/'[1]Tabela 3'!M$9</f>
        <v>2.3821499194696059</v>
      </c>
    </row>
    <row r="54" spans="1:13">
      <c r="A54" s="56" t="s">
        <v>338</v>
      </c>
      <c r="B54" s="97">
        <f>100*'[1]Tabela 1'!B54/'[1]Tabela 3'!B$9</f>
        <v>3.049400678313205</v>
      </c>
      <c r="C54" s="97">
        <f>100*'[1]Tabela 1'!C54/'[1]Tabela 3'!C$9</f>
        <v>3.1261129943597288</v>
      </c>
      <c r="D54" s="97">
        <f>100*'[1]Tabela 1'!D54/'[1]Tabela 3'!D$9</f>
        <v>3.1612187755182899</v>
      </c>
      <c r="E54" s="97">
        <f>100*'[1]Tabela 1'!E54/'[1]Tabela 3'!E$9</f>
        <v>3.0811178984574146</v>
      </c>
      <c r="F54" s="97">
        <f>100*'[1]Tabela 1'!F54/'[1]Tabela 3'!F$9</f>
        <v>3.0379925691375402</v>
      </c>
      <c r="G54" s="97">
        <f>100*'[1]Tabela 1'!G54/'[1]Tabela 3'!G$9</f>
        <v>3.1183888604757817</v>
      </c>
      <c r="H54" s="97">
        <f>100*'[1]Tabela 1'!H54/'[1]Tabela 3'!H$9</f>
        <v>3.3565662539622849</v>
      </c>
      <c r="I54" s="97">
        <f>100*'[1]Tabela 1'!I54/'[1]Tabela 3'!I$9</f>
        <v>3.4953655922809532</v>
      </c>
      <c r="J54" s="97">
        <f>100*'[1]Tabela 1'!J54/'[1]Tabela 3'!J$9</f>
        <v>3.711864703642938</v>
      </c>
      <c r="K54" s="97">
        <f>100*'[1]Tabela 1'!K54/'[1]Tabela 3'!K$9</f>
        <v>3.3488947788161569</v>
      </c>
      <c r="L54" s="97">
        <f>100*'[1]Tabela 1'!L54/'[1]Tabela 3'!L$9</f>
        <v>3.2652596063667487</v>
      </c>
      <c r="M54" s="97">
        <f>100*'[1]Tabela 1'!M54/'[1]Tabela 3'!M$9</f>
        <v>3.2217614321973458</v>
      </c>
    </row>
    <row r="55" spans="1:13">
      <c r="A55" s="51" t="s">
        <v>339</v>
      </c>
      <c r="B55" s="97">
        <f>100*'[1]Tabela 1'!B55/'[1]Tabela 3'!B$9</f>
        <v>0.94582467786755664</v>
      </c>
      <c r="C55" s="97">
        <f>100*'[1]Tabela 1'!C55/'[1]Tabela 3'!C$9</f>
        <v>0.95724726966354035</v>
      </c>
      <c r="D55" s="97">
        <f>100*'[1]Tabela 1'!D55/'[1]Tabela 3'!D$9</f>
        <v>0.98731893197172371</v>
      </c>
      <c r="E55" s="97">
        <f>100*'[1]Tabela 1'!E55/'[1]Tabela 3'!E$9</f>
        <v>1.0044977674704088</v>
      </c>
      <c r="F55" s="97">
        <f>100*'[1]Tabela 1'!F55/'[1]Tabela 3'!F$9</f>
        <v>1.02016183314131</v>
      </c>
      <c r="G55" s="97">
        <f>100*'[1]Tabela 1'!G55/'[1]Tabela 3'!G$9</f>
        <v>1.0346659831322036</v>
      </c>
      <c r="H55" s="97">
        <f>100*'[1]Tabela 1'!H55/'[1]Tabela 3'!H$9</f>
        <v>1.0501923978426064</v>
      </c>
      <c r="I55" s="97">
        <f>100*'[1]Tabela 1'!I55/'[1]Tabela 3'!I$9</f>
        <v>1.0671209475796326</v>
      </c>
      <c r="J55" s="97">
        <f>100*'[1]Tabela 1'!J55/'[1]Tabela 3'!J$9</f>
        <v>1.0847023647767311</v>
      </c>
      <c r="K55" s="97">
        <f>100*'[1]Tabela 1'!K55/'[1]Tabela 3'!K$9</f>
        <v>1.1026259331064745</v>
      </c>
      <c r="L55" s="97">
        <f>100*'[1]Tabela 1'!L55/'[1]Tabela 3'!L$9</f>
        <v>1.1205387090368986</v>
      </c>
      <c r="M55" s="97">
        <f>100*'[1]Tabela 1'!M55/'[1]Tabela 3'!M$9</f>
        <v>1.1393248605985726</v>
      </c>
    </row>
    <row r="56" spans="1:13">
      <c r="A56" s="51" t="s">
        <v>340</v>
      </c>
      <c r="B56" s="97">
        <f>100*'[1]Tabela 1'!B56/'[1]Tabela 3'!B$9</f>
        <v>0.68722367563109032</v>
      </c>
      <c r="C56" s="97">
        <f>100*'[1]Tabela 1'!C56/'[1]Tabela 3'!C$9</f>
        <v>0.69653455755315741</v>
      </c>
      <c r="D56" s="97">
        <f>100*'[1]Tabela 1'!D56/'[1]Tabela 3'!D$9</f>
        <v>0.71283975144369494</v>
      </c>
      <c r="E56" s="97">
        <f>100*'[1]Tabela 1'!E56/'[1]Tabela 3'!E$9</f>
        <v>0.70583951651797838</v>
      </c>
      <c r="F56" s="97">
        <f>100*'[1]Tabela 1'!F56/'[1]Tabela 3'!F$9</f>
        <v>0.69917662703987871</v>
      </c>
      <c r="G56" s="97">
        <f>100*'[1]Tabela 1'!G56/'[1]Tabela 3'!G$9</f>
        <v>0.69261830175250116</v>
      </c>
      <c r="H56" s="97">
        <f>100*'[1]Tabela 1'!H56/'[1]Tabela 3'!H$9</f>
        <v>0.67961050548940138</v>
      </c>
      <c r="I56" s="97">
        <f>100*'[1]Tabela 1'!I56/'[1]Tabela 3'!I$9</f>
        <v>0.65984951513761381</v>
      </c>
      <c r="J56" s="97">
        <f>100*'[1]Tabela 1'!J56/'[1]Tabela 3'!J$9</f>
        <v>0.65010107183448707</v>
      </c>
      <c r="K56" s="97">
        <f>100*'[1]Tabela 1'!K56/'[1]Tabela 3'!K$9</f>
        <v>0.63898725166153503</v>
      </c>
      <c r="L56" s="97">
        <f>100*'[1]Tabela 1'!L56/'[1]Tabela 3'!L$9</f>
        <v>0.62796504878407622</v>
      </c>
      <c r="M56" s="97">
        <f>100*'[1]Tabela 1'!M56/'[1]Tabela 3'!M$9</f>
        <v>0.61599952797984514</v>
      </c>
    </row>
    <row r="57" spans="1:13">
      <c r="A57" s="51" t="s">
        <v>341</v>
      </c>
      <c r="B57" s="97">
        <f>100*'[1]Tabela 1'!B57/'[1]Tabela 3'!B$9</f>
        <v>0.40481369788332189</v>
      </c>
      <c r="C57" s="97">
        <f>100*'[1]Tabela 1'!C57/'[1]Tabela 3'!C$9</f>
        <v>0.46452781317799624</v>
      </c>
      <c r="D57" s="97">
        <f>100*'[1]Tabela 1'!D57/'[1]Tabela 3'!D$9</f>
        <v>0.50819451315822994</v>
      </c>
      <c r="E57" s="97">
        <f>100*'[1]Tabela 1'!E57/'[1]Tabela 3'!E$9</f>
        <v>0.50422838002484127</v>
      </c>
      <c r="F57" s="97">
        <f>100*'[1]Tabela 1'!F57/'[1]Tabela 3'!F$9</f>
        <v>0.49720970832578892</v>
      </c>
      <c r="G57" s="97">
        <f>100*'[1]Tabela 1'!G57/'[1]Tabela 3'!G$9</f>
        <v>0.49190644918200033</v>
      </c>
      <c r="H57" s="97">
        <f>100*'[1]Tabela 1'!H57/'[1]Tabela 3'!H$9</f>
        <v>0.48807419457795698</v>
      </c>
      <c r="I57" s="97">
        <f>100*'[1]Tabela 1'!I57/'[1]Tabela 3'!I$9</f>
        <v>0.48604524006677707</v>
      </c>
      <c r="J57" s="97">
        <f>100*'[1]Tabela 1'!J57/'[1]Tabela 3'!J$9</f>
        <v>0.48085353695993327</v>
      </c>
      <c r="K57" s="97">
        <f>100*'[1]Tabela 1'!K57/'[1]Tabela 3'!K$9</f>
        <v>0.47568676589591724</v>
      </c>
      <c r="L57" s="97">
        <f>100*'[1]Tabela 1'!L57/'[1]Tabela 3'!L$9</f>
        <v>0.46970392871161321</v>
      </c>
      <c r="M57" s="97">
        <f>100*'[1]Tabela 1'!M57/'[1]Tabela 3'!M$9</f>
        <v>0.46387316393327449</v>
      </c>
    </row>
    <row r="58" spans="1:13">
      <c r="A58" s="51" t="s">
        <v>342</v>
      </c>
      <c r="B58" s="97">
        <f>100*'[1]Tabela 1'!B58/'[1]Tabela 3'!B$9</f>
        <v>0.29542506432859705</v>
      </c>
      <c r="C58" s="97">
        <f>100*'[1]Tabela 1'!C58/'[1]Tabela 3'!C$9</f>
        <v>0.38072946330311136</v>
      </c>
      <c r="D58" s="97">
        <f>100*'[1]Tabela 1'!D58/'[1]Tabela 3'!D$9</f>
        <v>0.34715369805308727</v>
      </c>
      <c r="E58" s="97">
        <f>100*'[1]Tabela 1'!E58/'[1]Tabela 3'!E$9</f>
        <v>0.32029199799565911</v>
      </c>
      <c r="F58" s="97">
        <f>100*'[1]Tabela 1'!F58/'[1]Tabela 3'!F$9</f>
        <v>0.29496326341965889</v>
      </c>
      <c r="G58" s="97">
        <f>100*'[1]Tabela 1'!G58/'[1]Tabela 3'!G$9</f>
        <v>0.27877297914669308</v>
      </c>
      <c r="H58" s="97">
        <f>100*'[1]Tabela 1'!H58/'[1]Tabela 3'!H$9</f>
        <v>0.28391481587034939</v>
      </c>
      <c r="I58" s="97">
        <f>100*'[1]Tabela 1'!I58/'[1]Tabela 3'!I$9</f>
        <v>0.28946999746008345</v>
      </c>
      <c r="J58" s="97">
        <f>100*'[1]Tabela 1'!J58/'[1]Tabela 3'!J$9</f>
        <v>0.29530252422271497</v>
      </c>
      <c r="K58" s="97">
        <f>100*'[1]Tabela 1'!K58/'[1]Tabela 3'!K$9</f>
        <v>0.30129734444290068</v>
      </c>
      <c r="L58" s="97">
        <f>100*'[1]Tabela 1'!L58/'[1]Tabela 3'!L$9</f>
        <v>0.3072915898244693</v>
      </c>
      <c r="M58" s="97">
        <f>100*'[1]Tabela 1'!M58/'[1]Tabela 3'!M$9</f>
        <v>0.31357710202406547</v>
      </c>
    </row>
    <row r="59" spans="1:13">
      <c r="A59" s="51" t="s">
        <v>343</v>
      </c>
      <c r="B59" s="97">
        <f>100*'[1]Tabela 1'!B59/'[1]Tabela 3'!B$9</f>
        <v>0.15197581575148078</v>
      </c>
      <c r="C59" s="97">
        <f>100*'[1]Tabela 1'!C59/'[1]Tabela 3'!C$9</f>
        <v>0.25053501823498453</v>
      </c>
      <c r="D59" s="97">
        <f>100*'[1]Tabela 1'!D59/'[1]Tabela 3'!D$9</f>
        <v>0.22871952447110797</v>
      </c>
      <c r="E59" s="97">
        <f>100*'[1]Tabela 1'!E59/'[1]Tabela 3'!E$9</f>
        <v>0.21309538805693776</v>
      </c>
      <c r="F59" s="97">
        <f>100*'[1]Tabela 1'!F59/'[1]Tabela 3'!F$9</f>
        <v>0.18976705660301768</v>
      </c>
      <c r="G59" s="97">
        <f>100*'[1]Tabela 1'!G59/'[1]Tabela 3'!G$9</f>
        <v>0.18227255027794131</v>
      </c>
      <c r="H59" s="97">
        <f>100*'[1]Tabela 1'!H59/'[1]Tabela 3'!H$9</f>
        <v>0.17579760315455759</v>
      </c>
      <c r="I59" s="97">
        <f>100*'[1]Tabela 1'!I59/'[1]Tabela 3'!I$9</f>
        <v>0.16902979923146391</v>
      </c>
      <c r="J59" s="97">
        <f>100*'[1]Tabela 1'!J59/'[1]Tabela 3'!J$9</f>
        <v>0.16227467299902298</v>
      </c>
      <c r="K59" s="97">
        <f>100*'[1]Tabela 1'!K59/'[1]Tabela 3'!K$9</f>
        <v>0.15521081028400502</v>
      </c>
      <c r="L59" s="97">
        <f>100*'[1]Tabela 1'!L59/'[1]Tabela 3'!L$9</f>
        <v>0.1479828480976447</v>
      </c>
      <c r="M59" s="97">
        <f>100*'[1]Tabela 1'!M59/'[1]Tabela 3'!M$9</f>
        <v>0.13748155342030899</v>
      </c>
    </row>
    <row r="60" spans="1:13">
      <c r="A60" s="51" t="s">
        <v>344</v>
      </c>
      <c r="B60" s="97">
        <f>100*'[1]Tabela 1'!B60/'[1]Tabela 3'!B$9</f>
        <v>0.56413774685115858</v>
      </c>
      <c r="C60" s="97">
        <f>100*'[1]Tabela 1'!C60/'[1]Tabela 3'!C$9</f>
        <v>0.37653887242693901</v>
      </c>
      <c r="D60" s="97">
        <f>100*'[1]Tabela 1'!D60/'[1]Tabela 3'!D$9</f>
        <v>0.37699235642044582</v>
      </c>
      <c r="E60" s="97">
        <f>100*'[1]Tabela 1'!E60/'[1]Tabela 3'!E$9</f>
        <v>0.33316484839158927</v>
      </c>
      <c r="F60" s="97">
        <f>100*'[1]Tabela 1'!F60/'[1]Tabela 3'!F$9</f>
        <v>0.33671408060788544</v>
      </c>
      <c r="G60" s="97">
        <f>100*'[1]Tabela 1'!G60/'[1]Tabela 3'!G$9</f>
        <v>0.27862619798554128</v>
      </c>
      <c r="H60" s="97">
        <f>100*'[1]Tabela 1'!H60/'[1]Tabela 3'!H$9</f>
        <v>0.33308686227087608</v>
      </c>
      <c r="I60" s="97">
        <f>100*'[1]Tabela 1'!I60/'[1]Tabela 3'!I$9</f>
        <v>0.29560299035957893</v>
      </c>
      <c r="J60" s="97">
        <f>100*'[1]Tabela 1'!J60/'[1]Tabela 3'!J$9</f>
        <v>0.33180215050266032</v>
      </c>
      <c r="K60" s="97">
        <f>100*'[1]Tabela 1'!K60/'[1]Tabela 3'!K$9</f>
        <v>0.29673022213024691</v>
      </c>
      <c r="L60" s="97">
        <f>100*'[1]Tabela 1'!L60/'[1]Tabela 3'!L$9</f>
        <v>0.33612928540454406</v>
      </c>
      <c r="M60" s="97">
        <f>100*'[1]Tabela 1'!M60/'[1]Tabela 3'!M$9</f>
        <v>0.29341770065637129</v>
      </c>
    </row>
    <row r="61" spans="1:13">
      <c r="A61" s="56" t="s">
        <v>345</v>
      </c>
      <c r="B61" s="97">
        <f>100*'[1]Tabela 1'!B61/'[1]Tabela 3'!B$9</f>
        <v>3.041242843836319</v>
      </c>
      <c r="C61" s="97">
        <f>100*'[1]Tabela 1'!C61/'[1]Tabela 3'!C$9</f>
        <v>2.8544972642574704</v>
      </c>
      <c r="D61" s="97">
        <f>100*'[1]Tabela 1'!D61/'[1]Tabela 3'!D$9</f>
        <v>2.8236509059751214</v>
      </c>
      <c r="E61" s="97">
        <f>100*'[1]Tabela 1'!E61/'[1]Tabela 3'!E$9</f>
        <v>2.7132280539766471</v>
      </c>
      <c r="F61" s="97">
        <f>100*'[1]Tabela 1'!F61/'[1]Tabela 3'!F$9</f>
        <v>2.6655751290190906</v>
      </c>
      <c r="G61" s="97">
        <f>100*'[1]Tabela 1'!G61/'[1]Tabela 3'!G$9</f>
        <v>2.5829746431096829</v>
      </c>
      <c r="H61" s="97">
        <f>100*'[1]Tabela 1'!H61/'[1]Tabela 3'!H$9</f>
        <v>2.5296777830488382</v>
      </c>
      <c r="I61" s="97">
        <f>100*'[1]Tabela 1'!I61/'[1]Tabela 3'!I$9</f>
        <v>2.4537912297585232</v>
      </c>
      <c r="J61" s="97">
        <f>100*'[1]Tabela 1'!J61/'[1]Tabela 3'!J$9</f>
        <v>2.4087319558019353</v>
      </c>
      <c r="K61" s="97">
        <f>100*'[1]Tabela 1'!K61/'[1]Tabela 3'!K$9</f>
        <v>2.2885458466372897</v>
      </c>
      <c r="L61" s="97">
        <f>100*'[1]Tabela 1'!L61/'[1]Tabela 3'!L$9</f>
        <v>2.2066567583014414</v>
      </c>
      <c r="M61" s="97">
        <f>100*'[1]Tabela 1'!M61/'[1]Tabela 3'!M$9</f>
        <v>2.1067448812067076</v>
      </c>
    </row>
    <row r="62" spans="1:13">
      <c r="A62" s="51" t="s">
        <v>346</v>
      </c>
      <c r="B62" s="97">
        <f>100*'[1]Tabela 1'!B62/'[1]Tabela 3'!B$9</f>
        <v>1.4321284737427571</v>
      </c>
      <c r="C62" s="97">
        <f>100*'[1]Tabela 1'!C62/'[1]Tabela 3'!C$9</f>
        <v>1.2534146545927896</v>
      </c>
      <c r="D62" s="97">
        <f>100*'[1]Tabela 1'!D62/'[1]Tabela 3'!D$9</f>
        <v>1.2215479176964799</v>
      </c>
      <c r="E62" s="97">
        <f>100*'[1]Tabela 1'!E62/'[1]Tabela 3'!E$9</f>
        <v>1.1368111600288529</v>
      </c>
      <c r="F62" s="97">
        <f>100*'[1]Tabela 1'!F62/'[1]Tabela 3'!F$9</f>
        <v>1.092725613102999</v>
      </c>
      <c r="G62" s="97">
        <f>100*'[1]Tabela 1'!G62/'[1]Tabela 3'!G$9</f>
        <v>1.0187121746251711</v>
      </c>
      <c r="H62" s="97">
        <f>100*'[1]Tabela 1'!H62/'[1]Tabela 3'!H$9</f>
        <v>0.97975186725289631</v>
      </c>
      <c r="I62" s="97">
        <f>100*'[1]Tabela 1'!I62/'[1]Tabela 3'!I$9</f>
        <v>0.91595818581580668</v>
      </c>
      <c r="J62" s="97">
        <f>100*'[1]Tabela 1'!J62/'[1]Tabela 3'!J$9</f>
        <v>0.88230666393965451</v>
      </c>
      <c r="K62" s="97">
        <f>100*'[1]Tabela 1'!K62/'[1]Tabela 3'!K$9</f>
        <v>0.82537198522917343</v>
      </c>
      <c r="L62" s="97">
        <f>100*'[1]Tabela 1'!L62/'[1]Tabela 3'!L$9</f>
        <v>0.79493627900943253</v>
      </c>
      <c r="M62" s="97">
        <f>100*'[1]Tabela 1'!M62/'[1]Tabela 3'!M$9</f>
        <v>0.74387308288773546</v>
      </c>
    </row>
    <row r="63" spans="1:13" ht="16.5" thickBot="1">
      <c r="A63" s="57" t="s">
        <v>347</v>
      </c>
      <c r="B63" s="99">
        <f>100*'[1]Tabela 1'!B63/'[1]Tabela 3'!B$9</f>
        <v>1.5785180674816295</v>
      </c>
      <c r="C63" s="99">
        <f>100*'[1]Tabela 1'!C63/'[1]Tabela 3'!C$9</f>
        <v>1.4918970488427876</v>
      </c>
      <c r="D63" s="99">
        <f>100*'[1]Tabela 1'!D63/'[1]Tabela 3'!D$9</f>
        <v>1.6522417423622129</v>
      </c>
      <c r="E63" s="99">
        <f>100*'[1]Tabela 1'!E63/'[1]Tabela 3'!E$9</f>
        <v>1.3456925871467573</v>
      </c>
      <c r="F63" s="99">
        <f>100*'[1]Tabela 1'!F63/'[1]Tabela 3'!F$9</f>
        <v>1.3371461629610553</v>
      </c>
      <c r="G63" s="99">
        <f>100*'[1]Tabela 1'!G63/'[1]Tabela 3'!G$9</f>
        <v>1.3564631855829616</v>
      </c>
      <c r="H63" s="99">
        <f>100*'[1]Tabela 1'!H63/'[1]Tabela 3'!H$9</f>
        <v>1.2628978319406328</v>
      </c>
      <c r="I63" s="99">
        <f>100*'[1]Tabela 1'!I63/'[1]Tabela 3'!I$9</f>
        <v>1.2764545833796554</v>
      </c>
      <c r="J63" s="99">
        <f>100*'[1]Tabela 1'!J63/'[1]Tabela 3'!J$9</f>
        <v>1.1737140097029308</v>
      </c>
      <c r="K63" s="99">
        <f>100*'[1]Tabela 1'!K63/'[1]Tabela 3'!K$9</f>
        <v>1.2086519463623289</v>
      </c>
      <c r="L63" s="99">
        <f>100*'[1]Tabela 1'!L63/'[1]Tabela 3'!L$9</f>
        <v>1.0238518153489196</v>
      </c>
      <c r="M63" s="99">
        <f>100*'[1]Tabela 1'!M63/'[1]Tabela 3'!M$9</f>
        <v>0.79662090200863989</v>
      </c>
    </row>
    <row r="64" spans="1:13" ht="23.25" customHeight="1" thickBot="1">
      <c r="A64" s="47" t="s">
        <v>348</v>
      </c>
      <c r="B64" s="95">
        <f>100*'[1]Tabela 1'!B64/'[1]Tabela 3'!B$9</f>
        <v>-0.38625332612805219</v>
      </c>
      <c r="C64" s="95">
        <f>100*'[1]Tabela 1'!C64/'[1]Tabela 3'!C$9</f>
        <v>-0.35613152847534923</v>
      </c>
      <c r="D64" s="95">
        <f>100*'[1]Tabela 1'!D64/'[1]Tabela 3'!D$9</f>
        <v>-0.19299128864218784</v>
      </c>
      <c r="E64" s="95">
        <f>100*'[1]Tabela 1'!E64/'[1]Tabela 3'!E$9</f>
        <v>0.50000000000000344</v>
      </c>
      <c r="F64" s="95">
        <f>100*'[1]Tabela 1'!F64/'[1]Tabela 3'!F$9</f>
        <v>1.0000000000000007</v>
      </c>
      <c r="G64" s="95">
        <f>100*'[1]Tabela 1'!G64/'[1]Tabela 3'!G$9</f>
        <v>1.2499999999999998</v>
      </c>
      <c r="H64" s="95">
        <f>100*'[1]Tabela 1'!H64/'[1]Tabela 3'!H$9</f>
        <v>1.2499999999999987</v>
      </c>
      <c r="I64" s="95">
        <f>100*'[1]Tabela 1'!I64/'[1]Tabela 3'!I$9</f>
        <v>1.25</v>
      </c>
      <c r="J64" s="95">
        <f>100*'[1]Tabela 1'!J64/'[1]Tabela 3'!J$9</f>
        <v>1.2500000000000004</v>
      </c>
      <c r="K64" s="95">
        <f>100*'[1]Tabela 1'!K64/'[1]Tabela 3'!K$9</f>
        <v>1.2500000000000004</v>
      </c>
      <c r="L64" s="95">
        <f>100*'[1]Tabela 1'!L64/'[1]Tabela 3'!L$9</f>
        <v>1.2499999999999989</v>
      </c>
      <c r="M64" s="95">
        <f>100*'[1]Tabela 1'!M64/'[1]Tabela 3'!M$9</f>
        <v>1.2500000000000011</v>
      </c>
    </row>
    <row r="65" spans="1:15" ht="23.25" customHeight="1" thickBot="1">
      <c r="A65" s="47" t="s">
        <v>349</v>
      </c>
      <c r="B65" s="95">
        <f>100*'[1]Tabela 1'!B65/'[1]Tabela 3'!B$9</f>
        <v>3.8704665144939553E-2</v>
      </c>
      <c r="C65" s="95">
        <f>100*'[1]Tabela 1'!C65/'[1]Tabela 3'!C$9</f>
        <v>0.14065143057415708</v>
      </c>
      <c r="D65" s="95">
        <f>100*'[1]Tabela 1'!D65/'[1]Tabela 3'!D$9</f>
        <v>8.0196547636504877E-3</v>
      </c>
      <c r="E65" s="95">
        <f>100*'[1]Tabela 1'!E65/'[1]Tabela 3'!E$9</f>
        <v>8.1401960594100851E-3</v>
      </c>
      <c r="F65" s="95">
        <f>100*'[1]Tabela 1'!F65/'[1]Tabela 3'!F$9</f>
        <v>7.5890603706844362E-3</v>
      </c>
      <c r="G65" s="95">
        <f>100*'[1]Tabela 1'!G65/'[1]Tabela 3'!G$9</f>
        <v>7.6632884625632038E-3</v>
      </c>
      <c r="H65" s="95">
        <f>100*'[1]Tabela 1'!H65/'[1]Tabela 3'!H$9</f>
        <v>8.2564064945461878E-3</v>
      </c>
      <c r="I65" s="95">
        <f>100*'[1]Tabela 1'!I65/'[1]Tabela 3'!I$9</f>
        <v>8.2319320961557595E-3</v>
      </c>
      <c r="J65" s="95">
        <f>100*'[1]Tabela 1'!J65/'[1]Tabela 3'!J$9</f>
        <v>8.1797119884171581E-3</v>
      </c>
      <c r="K65" s="95">
        <f>100*'[1]Tabela 1'!K65/'[1]Tabela 3'!K$9</f>
        <v>8.1005011661502979E-3</v>
      </c>
      <c r="L65" s="95">
        <f>100*'[1]Tabela 1'!L65/'[1]Tabela 3'!L$9</f>
        <v>8.4161866032350669E-3</v>
      </c>
      <c r="M65" s="95">
        <f>100*'[1]Tabela 1'!M65/'[1]Tabela 3'!M$9</f>
        <v>8.2677803311017994E-3</v>
      </c>
    </row>
    <row r="66" spans="1:15" ht="23.25" customHeight="1" thickBot="1">
      <c r="A66" s="47" t="s">
        <v>350</v>
      </c>
      <c r="B66" s="95">
        <f>100*'[1]Tabela 1'!B66/'[1]Tabela 3'!B$9</f>
        <v>-5.7338847279257268E-2</v>
      </c>
      <c r="C66" s="95">
        <f>100*'[1]Tabela 1'!C66/'[1]Tabela 3'!C$9</f>
        <v>-4.5326012113792884E-2</v>
      </c>
      <c r="D66" s="95">
        <f>100*'[1]Tabela 1'!D66/'[1]Tabela 3'!D$9</f>
        <v>-4.8738626534527499E-2</v>
      </c>
      <c r="E66" s="95">
        <f>100*'[1]Tabela 1'!E66/'[1]Tabela 3'!E$9</f>
        <v>-4.7980443235603638E-2</v>
      </c>
      <c r="F66" s="95">
        <f>100*'[1]Tabela 1'!F66/'[1]Tabela 3'!F$9</f>
        <v>-4.2504245853265149E-2</v>
      </c>
      <c r="G66" s="95">
        <f>100*'[1]Tabela 1'!G66/'[1]Tabela 3'!G$9</f>
        <v>-3.8188608846927805E-2</v>
      </c>
      <c r="H66" s="95">
        <f>100*'[1]Tabela 1'!H66/'[1]Tabela 3'!H$9</f>
        <v>-3.4813828696257841E-2</v>
      </c>
      <c r="I66" s="95">
        <f>100*'[1]Tabela 1'!I66/'[1]Tabela 3'!I$9</f>
        <v>-3.3346386628402912E-2</v>
      </c>
      <c r="J66" s="95">
        <f>100*'[1]Tabela 1'!J66/'[1]Tabela 3'!J$9</f>
        <v>-3.3522493201564765E-2</v>
      </c>
      <c r="K66" s="95">
        <f>100*'[1]Tabela 1'!K66/'[1]Tabela 3'!K$9</f>
        <v>-3.3702866515517016E-2</v>
      </c>
      <c r="L66" s="95">
        <f>100*'[1]Tabela 1'!L66/'[1]Tabela 3'!L$9</f>
        <v>-3.3876072445095801E-2</v>
      </c>
      <c r="M66" s="95">
        <f>100*'[1]Tabela 1'!M66/'[1]Tabela 3'!M$9</f>
        <v>-3.406885697447503E-2</v>
      </c>
    </row>
    <row r="67" spans="1:15" ht="23.25" customHeight="1" thickBot="1">
      <c r="A67" s="47" t="s">
        <v>351</v>
      </c>
      <c r="B67" s="95">
        <f>100*'[1]Tabela 1'!B67/'[1]Tabela 3'!B$9</f>
        <v>-0.40488750826237013</v>
      </c>
      <c r="C67" s="95">
        <f>100*'[1]Tabela 1'!C67/'[1]Tabela 3'!C$9</f>
        <v>-0.2608061100149851</v>
      </c>
      <c r="D67" s="95">
        <f>100*'[1]Tabela 1'!D67/'[1]Tabela 3'!D$9</f>
        <v>-0.23371026041306486</v>
      </c>
      <c r="E67" s="95">
        <f>100*'[1]Tabela 1'!E67/'[1]Tabela 3'!E$9</f>
        <v>0.46015975282380978</v>
      </c>
      <c r="F67" s="95">
        <f>100*'[1]Tabela 1'!F67/'[1]Tabela 3'!F$9</f>
        <v>0.9650848145174199</v>
      </c>
      <c r="G67" s="95">
        <f>100*'[1]Tabela 1'!G67/'[1]Tabela 3'!G$9</f>
        <v>1.2194746796156353</v>
      </c>
      <c r="H67" s="95">
        <f>100*'[1]Tabela 1'!H67/'[1]Tabela 3'!H$9</f>
        <v>1.2234425777982869</v>
      </c>
      <c r="I67" s="95">
        <f>100*'[1]Tabela 1'!I67/'[1]Tabela 3'!I$9</f>
        <v>1.224885545467753</v>
      </c>
      <c r="J67" s="95">
        <f>100*'[1]Tabela 1'!J67/'[1]Tabela 3'!J$9</f>
        <v>1.2246572187868527</v>
      </c>
      <c r="K67" s="95">
        <f>100*'[1]Tabela 1'!K67/'[1]Tabela 3'!K$9</f>
        <v>1.2243976346506336</v>
      </c>
      <c r="L67" s="95">
        <f>100*'[1]Tabela 1'!L67/'[1]Tabela 3'!L$9</f>
        <v>1.224540114158138</v>
      </c>
      <c r="M67" s="95">
        <f>100*'[1]Tabela 1'!M67/'[1]Tabela 3'!M$9</f>
        <v>1.2241989233566279</v>
      </c>
    </row>
    <row r="68" spans="1:15" ht="23.25" customHeight="1" thickBot="1">
      <c r="A68" s="47" t="s">
        <v>352</v>
      </c>
      <c r="B68" s="95">
        <f>100*'[1]Tabela 1'!B68/'[1]Tabela 3'!B$9</f>
        <v>8.0923483412338708</v>
      </c>
      <c r="C68" s="95">
        <f>100*'[1]Tabela 1'!C68/'[1]Tabela 3'!C$9</f>
        <v>8.5316829794418378</v>
      </c>
      <c r="D68" s="95">
        <f>100*'[1]Tabela 1'!D68/'[1]Tabela 3'!D$9</f>
        <v>8.0525001477649809</v>
      </c>
      <c r="E68" s="95">
        <f>100*'[1]Tabela 1'!E68/'[1]Tabela 3'!E$9</f>
        <v>7.3245357852683801</v>
      </c>
      <c r="F68" s="95">
        <f>100*'[1]Tabela 1'!F68/'[1]Tabela 3'!F$9</f>
        <v>6.3632776776142901</v>
      </c>
      <c r="G68" s="95">
        <f>100*'[1]Tabela 1'!G68/'[1]Tabela 3'!G$9</f>
        <v>6.0321556029160703</v>
      </c>
      <c r="H68" s="95">
        <f>100*'[1]Tabela 1'!H68/'[1]Tabela 3'!H$9</f>
        <v>5.8752650239035233</v>
      </c>
      <c r="I68" s="95">
        <f>100*'[1]Tabela 1'!I68/'[1]Tabela 3'!I$9</f>
        <v>5.7661063450533279</v>
      </c>
      <c r="J68" s="95">
        <f>100*'[1]Tabela 1'!J68/'[1]Tabela 3'!J$9</f>
        <v>5.7169311685829065</v>
      </c>
      <c r="K68" s="95">
        <f>100*'[1]Tabela 1'!K68/'[1]Tabela 3'!K$9</f>
        <v>5.7072272427459749</v>
      </c>
      <c r="L68" s="95">
        <f>100*'[1]Tabela 1'!L68/'[1]Tabela 3'!L$9</f>
        <v>5.6339962923366969</v>
      </c>
      <c r="M68" s="95">
        <f>100*'[1]Tabela 1'!M68/'[1]Tabela 3'!M$9</f>
        <v>5.6644243276602726</v>
      </c>
    </row>
    <row r="69" spans="1:15" ht="23.25" customHeight="1" thickBot="1">
      <c r="A69" s="47" t="s">
        <v>353</v>
      </c>
      <c r="B69" s="95">
        <f>100*'[1]Tabela 1'!B69/'[1]Tabela 3'!B$9</f>
        <v>7.4941378122403357</v>
      </c>
      <c r="C69" s="95">
        <f>100*'[1]Tabela 1'!C69/'[1]Tabela 3'!C$9</f>
        <v>8.7638683564091675</v>
      </c>
      <c r="D69" s="95">
        <f>100*'[1]Tabela 1'!D69/'[1]Tabela 3'!D$9</f>
        <v>8.3371375140719799</v>
      </c>
      <c r="E69" s="95">
        <f>100*'[1]Tabela 1'!E69/'[1]Tabela 3'!E$9</f>
        <v>7.4683686240960556</v>
      </c>
      <c r="F69" s="95">
        <f>100*'[1]Tabela 1'!F69/'[1]Tabela 3'!F$9</f>
        <v>6.5312810300967694</v>
      </c>
      <c r="G69" s="95">
        <f>100*'[1]Tabela 1'!G69/'[1]Tabela 3'!G$9</f>
        <v>6.1868198116250284</v>
      </c>
      <c r="H69" s="95">
        <f>100*'[1]Tabela 1'!H69/'[1]Tabela 3'!H$9</f>
        <v>6.0479457140829105</v>
      </c>
      <c r="I69" s="95">
        <f>100*'[1]Tabela 1'!I69/'[1]Tabela 3'!I$9</f>
        <v>5.940895150953958</v>
      </c>
      <c r="J69" s="95">
        <f>100*'[1]Tabela 1'!J69/'[1]Tabela 3'!J$9</f>
        <v>5.9094498812710583</v>
      </c>
      <c r="K69" s="95">
        <f>100*'[1]Tabela 1'!K69/'[1]Tabela 3'!K$9</f>
        <v>5.9134810741971542</v>
      </c>
      <c r="L69" s="95">
        <f>100*'[1]Tabela 1'!L69/'[1]Tabela 3'!L$9</f>
        <v>5.8553730882952788</v>
      </c>
      <c r="M69" s="95">
        <f>100*'[1]Tabela 1'!M69/'[1]Tabela 3'!M$9</f>
        <v>5.8607653969736582</v>
      </c>
    </row>
    <row r="70" spans="1:15" ht="23.25" customHeight="1" thickBot="1">
      <c r="A70" s="47" t="s">
        <v>354</v>
      </c>
      <c r="B70" s="95">
        <f>100*'[1]Tabela 1'!B70/'[1]Tabela 3'!B$9</f>
        <v>8.4972358494962492</v>
      </c>
      <c r="C70" s="95">
        <f>100*'[1]Tabela 1'!C70/'[1]Tabela 3'!C$9</f>
        <v>8.7924890894568239</v>
      </c>
      <c r="D70" s="95">
        <f>100*'[1]Tabela 1'!D70/'[1]Tabela 3'!D$9</f>
        <v>8.286210408178043</v>
      </c>
      <c r="E70" s="95">
        <f>100*'[1]Tabela 1'!E70/'[1]Tabela 3'!E$9</f>
        <v>6.8643760324445706</v>
      </c>
      <c r="F70" s="95">
        <f>100*'[1]Tabela 1'!F70/'[1]Tabela 3'!F$9</f>
        <v>5.3981928630968703</v>
      </c>
      <c r="G70" s="95">
        <f>100*'[1]Tabela 1'!G70/'[1]Tabela 3'!G$9</f>
        <v>4.8126809233004355</v>
      </c>
      <c r="H70" s="95">
        <f>100*'[1]Tabela 1'!H70/'[1]Tabela 3'!H$9</f>
        <v>4.6518224461052355</v>
      </c>
      <c r="I70" s="95">
        <f>100*'[1]Tabela 1'!I70/'[1]Tabela 3'!I$9</f>
        <v>4.5412207995855738</v>
      </c>
      <c r="J70" s="95">
        <f>100*'[1]Tabela 1'!J70/'[1]Tabela 3'!J$9</f>
        <v>4.4922739497960524</v>
      </c>
      <c r="K70" s="95">
        <f>100*'[1]Tabela 1'!K70/'[1]Tabela 3'!K$9</f>
        <v>4.4828296080953391</v>
      </c>
      <c r="L70" s="95">
        <f>100*'[1]Tabela 1'!L70/'[1]Tabela 3'!L$9</f>
        <v>4.409456178178556</v>
      </c>
      <c r="M70" s="95">
        <f>100*'[1]Tabela 1'!M70/'[1]Tabela 3'!M$9</f>
        <v>4.4402254043036429</v>
      </c>
      <c r="N70" s="59"/>
      <c r="O70" s="59"/>
    </row>
    <row r="71" spans="1:15" ht="23.25" customHeight="1" thickBot="1">
      <c r="A71" s="47" t="s">
        <v>355</v>
      </c>
      <c r="B71" s="95">
        <f>100*'[1]Tabela 1'!B71/'[1]Tabela 3'!B$9</f>
        <v>61.480772530300321</v>
      </c>
      <c r="C71" s="95">
        <f>100*'[1]Tabela 1'!C71/'[1]Tabela 3'!C$9</f>
        <v>65.659853806482928</v>
      </c>
      <c r="D71" s="95">
        <f>100*'[1]Tabela 1'!D71/'[1]Tabela 3'!D$9</f>
        <v>69.397624723055543</v>
      </c>
      <c r="E71" s="95">
        <f>100*'[1]Tabela 1'!E71/'[1]Tabela 3'!E$9</f>
        <v>71.526704736630876</v>
      </c>
      <c r="F71" s="95">
        <f>100*'[1]Tabela 1'!F71/'[1]Tabela 3'!F$9</f>
        <v>72.085269184384089</v>
      </c>
      <c r="G71" s="95">
        <f>100*'[1]Tabela 1'!G71/'[1]Tabela 3'!G$9</f>
        <v>71.98626724338753</v>
      </c>
      <c r="H71" s="95">
        <f>100*'[1]Tabela 1'!H71/'[1]Tabela 3'!H$9</f>
        <v>71.795488170206994</v>
      </c>
      <c r="I71" s="95">
        <f>100*'[1]Tabela 1'!I71/'[1]Tabela 3'!I$9</f>
        <v>71.58167373762052</v>
      </c>
      <c r="J71" s="95">
        <f>100*'[1]Tabela 1'!J71/'[1]Tabela 3'!J$9</f>
        <v>71.372188386726478</v>
      </c>
      <c r="K71" s="95">
        <f>100*'[1]Tabela 1'!K71/'[1]Tabela 3'!K$9</f>
        <v>71.177904991498608</v>
      </c>
      <c r="L71" s="95">
        <f>100*'[1]Tabela 1'!L71/'[1]Tabela 3'!L$9</f>
        <v>70.911004141339873</v>
      </c>
      <c r="M71" s="95">
        <f>100*'[1]Tabela 1'!M71/'[1]Tabela 3'!M$9</f>
        <v>70.73225385050219</v>
      </c>
    </row>
    <row r="72" spans="1:15" ht="23.25" customHeight="1" thickBot="1">
      <c r="A72" s="47" t="s">
        <v>356</v>
      </c>
      <c r="B72" s="95">
        <f>100*'[1]Tabela 1'!B72/'[1]Tabela 3'!B$9</f>
        <v>76.49602725363161</v>
      </c>
      <c r="C72" s="95">
        <f>100*'[1]Tabela 1'!C72/'[1]Tabela 3'!C$9</f>
        <v>79.038799810612048</v>
      </c>
      <c r="D72" s="95">
        <f>100*'[1]Tabela 1'!D72/'[1]Tabela 3'!D$9</f>
        <v>82.333865725298324</v>
      </c>
      <c r="E72" s="95">
        <f>100*'[1]Tabela 1'!E72/'[1]Tabela 3'!E$9</f>
        <v>83.935106895007081</v>
      </c>
      <c r="F72" s="95">
        <f>100*'[1]Tabela 1'!F72/'[1]Tabela 3'!F$9</f>
        <v>84.280006952411327</v>
      </c>
      <c r="G72" s="95">
        <f>100*'[1]Tabela 1'!G72/'[1]Tabela 3'!G$9</f>
        <v>84.142860583728208</v>
      </c>
      <c r="H72" s="95">
        <f>100*'[1]Tabela 1'!H72/'[1]Tabela 3'!H$9</f>
        <v>83.990638147439384</v>
      </c>
      <c r="I72" s="95">
        <f>100*'[1]Tabela 1'!I72/'[1]Tabela 3'!I$9</f>
        <v>83.853728534654209</v>
      </c>
      <c r="J72" s="95">
        <f>100*'[1]Tabela 1'!J72/'[1]Tabela 3'!J$9</f>
        <v>83.690067902241424</v>
      </c>
      <c r="K72" s="95">
        <f>100*'[1]Tabela 1'!K72/'[1]Tabela 3'!K$9</f>
        <v>83.521432946365479</v>
      </c>
      <c r="L72" s="95">
        <f>100*'[1]Tabela 1'!L72/'[1]Tabela 3'!L$9</f>
        <v>83.222026178248313</v>
      </c>
      <c r="M72" s="95">
        <f>100*'[1]Tabela 1'!M72/'[1]Tabela 3'!M$9</f>
        <v>82.937163915516209</v>
      </c>
    </row>
    <row r="73" spans="1:15" ht="23.25" customHeight="1" thickBot="1">
      <c r="A73" s="47" t="s">
        <v>357</v>
      </c>
      <c r="B73" s="95">
        <f>100*'[1]Tabela 1'!B73/'[1]Tabela 3'!B$9</f>
        <v>63.391601000317891</v>
      </c>
      <c r="C73" s="95">
        <f>100*'[1]Tabela 1'!C73/'[1]Tabela 3'!C$9</f>
        <v>67.488739427574544</v>
      </c>
      <c r="D73" s="95">
        <f>100*'[1]Tabela 1'!D73/'[1]Tabela 3'!D$9</f>
        <v>70.197292076947306</v>
      </c>
      <c r="E73" s="95">
        <f>100*'[1]Tabela 1'!E73/'[1]Tabela 3'!E$9</f>
        <v>71.449693278015104</v>
      </c>
      <c r="F73" s="95">
        <f>100*'[1]Tabela 1'!F73/'[1]Tabela 3'!F$9</f>
        <v>71.717041136584726</v>
      </c>
      <c r="G73" s="95">
        <f>100*'[1]Tabela 1'!G73/'[1]Tabela 3'!G$9</f>
        <v>71.458089279856395</v>
      </c>
      <c r="H73" s="95">
        <f>100*'[1]Tabela 1'!H73/'[1]Tabela 3'!H$9</f>
        <v>71.286706179183625</v>
      </c>
      <c r="I73" s="95">
        <f>100*'[1]Tabela 1'!I73/'[1]Tabela 3'!I$9</f>
        <v>71.108115904791461</v>
      </c>
      <c r="J73" s="95">
        <f>100*'[1]Tabela 1'!J73/'[1]Tabela 3'!J$9</f>
        <v>70.892377223354259</v>
      </c>
      <c r="K73" s="95">
        <f>100*'[1]Tabela 1'!K73/'[1]Tabela 3'!K$9</f>
        <v>70.674818765978685</v>
      </c>
      <c r="L73" s="95">
        <f>100*'[1]Tabela 1'!L73/'[1]Tabela 3'!L$9</f>
        <v>70.389994036717937</v>
      </c>
      <c r="M73" s="95">
        <f>100*'[1]Tabela 1'!M73/'[1]Tabela 3'!M$9</f>
        <v>70.188605620130772</v>
      </c>
    </row>
    <row r="74" spans="1:15" ht="14.25" customHeight="1">
      <c r="A74" s="60" t="s">
        <v>358</v>
      </c>
      <c r="B74" s="100"/>
      <c r="C74" s="100"/>
      <c r="D74" s="100"/>
      <c r="E74" s="100"/>
      <c r="F74" s="100"/>
      <c r="G74" s="100"/>
      <c r="H74" s="100"/>
      <c r="I74" s="100"/>
      <c r="J74" s="100"/>
      <c r="K74" s="100"/>
      <c r="L74" s="100"/>
      <c r="M74" s="100"/>
    </row>
    <row r="75" spans="1:15" ht="14.25" customHeight="1">
      <c r="A75" s="62" t="s">
        <v>359</v>
      </c>
      <c r="B75" s="100"/>
      <c r="C75" s="100"/>
      <c r="D75" s="100"/>
      <c r="E75" s="100"/>
      <c r="F75" s="100"/>
      <c r="G75" s="100"/>
      <c r="H75" s="100"/>
      <c r="I75" s="100"/>
      <c r="J75" s="100"/>
      <c r="K75" s="100"/>
      <c r="L75" s="100"/>
      <c r="M75" s="100"/>
    </row>
    <row r="76" spans="1:15" ht="15">
      <c r="A76" s="62" t="s">
        <v>360</v>
      </c>
      <c r="B76" s="101"/>
      <c r="C76" s="101"/>
      <c r="D76" s="101"/>
      <c r="E76" s="101"/>
      <c r="F76" s="101"/>
      <c r="G76" s="101"/>
      <c r="H76" s="101"/>
      <c r="I76" s="101"/>
      <c r="J76" s="101"/>
      <c r="K76" s="101"/>
      <c r="L76" s="102"/>
      <c r="M76" s="101"/>
    </row>
    <row r="77" spans="1:15" ht="15">
      <c r="A77" s="62" t="s">
        <v>361</v>
      </c>
      <c r="B77" s="103"/>
      <c r="C77" s="103"/>
      <c r="D77" s="103"/>
      <c r="E77" s="103"/>
      <c r="F77" s="103"/>
      <c r="G77" s="103"/>
      <c r="H77" s="103"/>
      <c r="I77" s="103"/>
      <c r="J77" s="103"/>
      <c r="K77" s="103"/>
      <c r="L77" s="102"/>
      <c r="M77" s="103"/>
    </row>
    <row r="78" spans="1:15" ht="15">
      <c r="A78" s="62" t="s">
        <v>362</v>
      </c>
      <c r="B78" s="103"/>
      <c r="C78" s="103"/>
      <c r="D78" s="103"/>
      <c r="E78" s="103"/>
      <c r="F78" s="103"/>
      <c r="G78" s="103"/>
      <c r="H78" s="103"/>
      <c r="I78" s="103"/>
      <c r="J78" s="103"/>
      <c r="K78" s="103"/>
      <c r="L78" s="102"/>
      <c r="M78" s="103"/>
    </row>
    <row r="79" spans="1:15" ht="16.5" thickBot="1">
      <c r="B79" s="102"/>
      <c r="C79" s="102"/>
      <c r="D79" s="102"/>
      <c r="E79" s="102"/>
      <c r="F79" s="102"/>
      <c r="G79" s="102"/>
      <c r="H79" s="102"/>
      <c r="I79" s="102"/>
      <c r="J79" s="102"/>
      <c r="K79" s="102"/>
      <c r="L79" s="102"/>
      <c r="M79" s="102"/>
    </row>
    <row r="80" spans="1:15" ht="16.5" thickBot="1">
      <c r="A80" s="66" t="s">
        <v>363</v>
      </c>
      <c r="B80" s="67">
        <v>2024</v>
      </c>
      <c r="C80" s="67">
        <v>2025</v>
      </c>
      <c r="D80" s="67">
        <v>2026</v>
      </c>
      <c r="E80" s="67">
        <v>2027</v>
      </c>
      <c r="F80" s="67">
        <v>2028</v>
      </c>
      <c r="G80" s="67">
        <v>2029</v>
      </c>
      <c r="H80" s="67">
        <v>2030</v>
      </c>
      <c r="I80" s="67">
        <v>2031</v>
      </c>
      <c r="J80" s="67">
        <v>2032</v>
      </c>
      <c r="K80" s="67">
        <v>2033</v>
      </c>
      <c r="L80" s="67">
        <v>2034</v>
      </c>
      <c r="M80" s="67">
        <v>2035</v>
      </c>
    </row>
    <row r="81" spans="1:13" ht="19.5" customHeight="1" thickBot="1">
      <c r="A81" s="47" t="s">
        <v>364</v>
      </c>
      <c r="B81" s="104">
        <f>100*'[1]Tabela 1'!B81/'[1]Tabela 3'!B$9</f>
        <v>17.925034270782241</v>
      </c>
      <c r="C81" s="104">
        <f>100*'[1]Tabela 1'!C81/'[1]Tabela 3'!C$9</f>
        <v>17.769029542717011</v>
      </c>
      <c r="D81" s="104">
        <f>100*'[1]Tabela 1'!D81/'[1]Tabela 3'!D$9</f>
        <v>17.76556719037913</v>
      </c>
      <c r="E81" s="104">
        <f>100*'[1]Tabela 1'!E81/'[1]Tabela 3'!E$9</f>
        <v>17.571717547502061</v>
      </c>
      <c r="F81" s="104">
        <f>100*'[1]Tabela 1'!F81/'[1]Tabela 3'!F$9</f>
        <v>17.33897160852138</v>
      </c>
      <c r="G81" s="104">
        <f>100*'[1]Tabela 1'!G81/'[1]Tabela 3'!G$9</f>
        <v>17.072707896922033</v>
      </c>
      <c r="H81" s="104">
        <f>100*'[1]Tabela 1'!H81/'[1]Tabela 3'!H$9</f>
        <v>16.830285579485167</v>
      </c>
      <c r="I81" s="104">
        <f>100*'[1]Tabela 1'!I81/'[1]Tabela 3'!I$9</f>
        <v>16.608658732925338</v>
      </c>
      <c r="J81" s="104">
        <f>100*'[1]Tabela 1'!J81/'[1]Tabela 3'!J$9</f>
        <v>16.398455637804929</v>
      </c>
      <c r="K81" s="104">
        <f>100*'[1]Tabela 1'!K81/'[1]Tabela 3'!K$9</f>
        <v>16.192515707245523</v>
      </c>
      <c r="L81" s="104">
        <f>100*'[1]Tabela 1'!L81/'[1]Tabela 3'!L$9</f>
        <v>15.869915780516038</v>
      </c>
      <c r="M81" s="104">
        <f>100*'[1]Tabela 1'!M81/'[1]Tabela 3'!M$9</f>
        <v>15.430759223972681</v>
      </c>
    </row>
    <row r="82" spans="1:13" ht="19.5" customHeight="1" thickBot="1">
      <c r="A82" s="69" t="s">
        <v>365</v>
      </c>
      <c r="B82" s="104">
        <f>100*'[1]Tabela 1'!B82/'[1]Tabela 3'!B$9</f>
        <v>17.683450954030768</v>
      </c>
      <c r="C82" s="104">
        <f>100*'[1]Tabela 1'!C82/'[1]Tabela 3'!C$9</f>
        <v>17.562393030567943</v>
      </c>
      <c r="D82" s="104">
        <f>100*'[1]Tabela 1'!D82/'[1]Tabela 3'!D$9</f>
        <v>17.69526434292748</v>
      </c>
      <c r="E82" s="104">
        <f>100*'[1]Tabela 1'!E82/'[1]Tabela 3'!E$9</f>
        <v>17.502377120007083</v>
      </c>
      <c r="F82" s="104">
        <f>100*'[1]Tabela 1'!F82/'[1]Tabela 3'!F$9</f>
        <v>17.270665073005102</v>
      </c>
      <c r="G82" s="104">
        <f>100*'[1]Tabela 1'!G82/'[1]Tabela 3'!G$9</f>
        <v>17.00539962858927</v>
      </c>
      <c r="H82" s="104">
        <f>100*'[1]Tabela 1'!H82/'[1]Tabela 3'!H$9</f>
        <v>16.763731127250121</v>
      </c>
      <c r="I82" s="104">
        <f>100*'[1]Tabela 1'!I82/'[1]Tabela 3'!I$9</f>
        <v>16.54278273166446</v>
      </c>
      <c r="J82" s="104">
        <f>100*'[1]Tabela 1'!J82/'[1]Tabela 3'!J$9</f>
        <v>16.333143411770713</v>
      </c>
      <c r="K82" s="104">
        <f>100*'[1]Tabela 1'!K82/'[1]Tabela 3'!K$9</f>
        <v>16.127730460556375</v>
      </c>
      <c r="L82" s="104">
        <f>100*'[1]Tabela 1'!L82/'[1]Tabela 3'!L$9</f>
        <v>15.805631204223701</v>
      </c>
      <c r="M82" s="104">
        <f>100*'[1]Tabela 1'!M82/'[1]Tabela 3'!M$9</f>
        <v>15.366944709141436</v>
      </c>
    </row>
    <row r="83" spans="1:13" ht="19.5" customHeight="1" thickBot="1">
      <c r="A83" s="47" t="s">
        <v>366</v>
      </c>
      <c r="B83" s="104">
        <f>100*'[1]Tabela 1'!B83/'[1]Tabela 3'!B$9</f>
        <v>1.0935545294449105</v>
      </c>
      <c r="C83" s="104">
        <f>100*'[1]Tabela 1'!C83/'[1]Tabela 3'!C$9</f>
        <v>1.2540853980169175</v>
      </c>
      <c r="D83" s="104">
        <f>100*'[1]Tabela 1'!D83/'[1]Tabela 3'!D$9</f>
        <v>1.2707979406477548</v>
      </c>
      <c r="E83" s="104">
        <f>100*'[1]Tabela 1'!E83/'[1]Tabela 3'!E$9</f>
        <v>0.78741730762953466</v>
      </c>
      <c r="F83" s="104">
        <f>100*'[1]Tabela 1'!F83/'[1]Tabela 3'!F$9</f>
        <v>0.73549003053284701</v>
      </c>
      <c r="G83" s="104">
        <f>100*'[1]Tabela 1'!G83/'[1]Tabela 3'!G$9</f>
        <v>0.84151502036344228</v>
      </c>
      <c r="H83" s="104">
        <f>100*'[1]Tabela 1'!H83/'[1]Tabela 3'!H$9</f>
        <v>1.0405601886641564</v>
      </c>
      <c r="I83" s="104">
        <f>100*'[1]Tabela 1'!I83/'[1]Tabela 3'!I$9</f>
        <v>1.2157756257728671</v>
      </c>
      <c r="J83" s="104">
        <f>100*'[1]Tabela 1'!J83/'[1]Tabela 3'!J$9</f>
        <v>1.3915463956109593</v>
      </c>
      <c r="K83" s="104">
        <f>100*'[1]Tabela 1'!K83/'[1]Tabela 3'!K$9</f>
        <v>1.0522615708542087</v>
      </c>
      <c r="L83" s="104">
        <f>100*'[1]Tabela 1'!L83/'[1]Tabela 3'!L$9</f>
        <v>0.9326531806339019</v>
      </c>
      <c r="M83" s="104">
        <f>100*'[1]Tabela 1'!M83/'[1]Tabela 3'!M$9</f>
        <v>0.9139901550574816</v>
      </c>
    </row>
    <row r="84" spans="1:13" ht="19.5" customHeight="1" thickBot="1">
      <c r="A84" s="47" t="s">
        <v>367</v>
      </c>
      <c r="B84" s="104"/>
      <c r="C84" s="104"/>
      <c r="D84" s="104"/>
      <c r="E84" s="104"/>
      <c r="F84" s="104"/>
      <c r="G84" s="104"/>
      <c r="H84" s="104"/>
      <c r="I84" s="104"/>
      <c r="J84" s="104"/>
      <c r="K84" s="105"/>
      <c r="L84" s="104"/>
      <c r="M84" s="105"/>
    </row>
    <row r="85" spans="1:13" ht="19.5" customHeight="1">
      <c r="A85" s="71" t="s">
        <v>368</v>
      </c>
      <c r="B85" s="106">
        <f>'[1]Tabela 1'!B85</f>
        <v>14.715022396798627</v>
      </c>
      <c r="C85" s="106">
        <f>'[1]Tabela 1'!C85</f>
        <v>13.940922027975292</v>
      </c>
      <c r="D85" s="106">
        <f>'[1]Tabela 1'!D85</f>
        <v>12.358109163298408</v>
      </c>
      <c r="E85" s="106">
        <f>'[1]Tabela 1'!E85</f>
        <v>10.763670117312772</v>
      </c>
      <c r="F85" s="106">
        <f>'[1]Tabela 1'!F85</f>
        <v>9.1710213756400254</v>
      </c>
      <c r="G85" s="106">
        <f>'[1]Tabela 1'!G85</f>
        <v>8.6683012341829322</v>
      </c>
      <c r="H85" s="106">
        <f>'[1]Tabela 1'!H85</f>
        <v>8.4528732810727725</v>
      </c>
      <c r="I85" s="106">
        <f>'[1]Tabela 1'!I85</f>
        <v>8.3150750273872944</v>
      </c>
      <c r="J85" s="106">
        <f>'[1]Tabela 1'!J85</f>
        <v>8.2664903672954502</v>
      </c>
      <c r="K85" s="106">
        <f>'[1]Tabela 1'!K85</f>
        <v>8.2754087229174207</v>
      </c>
      <c r="L85" s="106">
        <f>'[1]Tabela 1'!L85</f>
        <v>8.1968344709091223</v>
      </c>
      <c r="M85" s="106">
        <f>'[1]Tabela 1'!M85</f>
        <v>8.2646669963888328</v>
      </c>
    </row>
    <row r="86" spans="1:13" ht="19.5" customHeight="1" thickBot="1">
      <c r="A86" s="73" t="s">
        <v>369</v>
      </c>
      <c r="B86" s="107">
        <f>'[1]Tabela 1'!B86</f>
        <v>10.710417321005306</v>
      </c>
      <c r="C86" s="107">
        <f>'[1]Tabela 1'!C86</f>
        <v>11.71377586639673</v>
      </c>
      <c r="D86" s="107">
        <f>'[1]Tabela 1'!D86</f>
        <v>10.711363876065779</v>
      </c>
      <c r="E86" s="107">
        <f>'[1]Tabela 1'!E86</f>
        <v>9.303930494765849</v>
      </c>
      <c r="F86" s="107">
        <f>'[1]Tabela 1'!F86</f>
        <v>8.036904755701201</v>
      </c>
      <c r="G86" s="107">
        <f>'[1]Tabela 1'!G86</f>
        <v>7.6051537317264</v>
      </c>
      <c r="H86" s="107">
        <f>'[1]Tabela 1'!H86</f>
        <v>7.4409440659997692</v>
      </c>
      <c r="I86" s="107">
        <f>'[1]Tabela 1'!I86</f>
        <v>7.3181064396007409</v>
      </c>
      <c r="J86" s="107">
        <f>'[1]Tabela 1'!J86</f>
        <v>7.2906406135978523</v>
      </c>
      <c r="K86" s="107">
        <f>'[1]Tabela 1'!K86</f>
        <v>7.3097700333277675</v>
      </c>
      <c r="L86" s="107">
        <f>'[1]Tabela 1'!L86</f>
        <v>7.2592933574337968</v>
      </c>
      <c r="M86" s="107">
        <f>'[1]Tabela 1'!M86</f>
        <v>7.2895714503078732</v>
      </c>
    </row>
    <row r="87" spans="1:13" ht="15">
      <c r="A87" s="75" t="s">
        <v>370</v>
      </c>
      <c r="B87" s="75"/>
      <c r="C87" s="75"/>
      <c r="D87" s="75"/>
      <c r="E87" s="75"/>
      <c r="F87" s="75"/>
      <c r="G87" s="75"/>
      <c r="H87" s="75"/>
      <c r="I87" s="75"/>
      <c r="J87" s="75"/>
      <c r="K87" s="76"/>
      <c r="L87" s="76"/>
      <c r="M87" s="76"/>
    </row>
    <row r="88" spans="1:13" ht="15">
      <c r="A88" s="62" t="s">
        <v>371</v>
      </c>
      <c r="B88" s="62"/>
      <c r="C88" s="62"/>
      <c r="D88" s="62"/>
      <c r="E88" s="62"/>
      <c r="F88" s="62"/>
      <c r="G88" s="62"/>
      <c r="H88" s="62"/>
      <c r="I88" s="62"/>
      <c r="J88" s="62"/>
    </row>
    <row r="89" spans="1:13" ht="15">
      <c r="A89" s="43"/>
    </row>
    <row r="90" spans="1:13" ht="15">
      <c r="A90" s="43"/>
    </row>
    <row r="91" spans="1:13" ht="15">
      <c r="A91" s="77"/>
      <c r="B91" s="78"/>
      <c r="C91" s="78"/>
      <c r="D91" s="78"/>
      <c r="E91" s="78"/>
      <c r="F91" s="78"/>
      <c r="G91" s="78"/>
      <c r="H91" s="78"/>
      <c r="I91" s="78"/>
    </row>
    <row r="92" spans="1:13" ht="15">
      <c r="A92" s="77"/>
      <c r="B92" s="78"/>
      <c r="C92" s="78"/>
      <c r="D92" s="78"/>
      <c r="E92" s="78"/>
      <c r="F92" s="78"/>
      <c r="G92" s="78"/>
      <c r="H92" s="78"/>
      <c r="I92" s="78"/>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96EBE-FDE1-4D0F-8108-85D54800FE85}">
  <sheetPr>
    <tabColor theme="5" tint="-0.499984740745262"/>
    <pageSetUpPr fitToPage="1"/>
  </sheetPr>
  <dimension ref="A1:AC198"/>
  <sheetViews>
    <sheetView showGridLines="0" zoomScale="90" zoomScaleNormal="90" workbookViewId="0">
      <pane xSplit="1" ySplit="5" topLeftCell="B6" activePane="bottomRight" state="frozen"/>
      <selection activeCell="MH77" sqref="MH77"/>
      <selection pane="topRight" activeCell="MH77" sqref="MH77"/>
      <selection pane="bottomLeft" activeCell="MH77" sqref="MH77"/>
      <selection pane="bottomRight" activeCell="A155" sqref="A5:A155"/>
    </sheetView>
  </sheetViews>
  <sheetFormatPr defaultColWidth="10.7109375" defaultRowHeight="15.75"/>
  <cols>
    <col min="1" max="1" width="81.5703125" style="114" customWidth="1"/>
    <col min="2" max="2" width="11.140625" style="109" bestFit="1" customWidth="1"/>
    <col min="3" max="26" width="12.7109375" style="109" bestFit="1" customWidth="1"/>
    <col min="27" max="27" width="13.85546875" style="109" bestFit="1" customWidth="1"/>
    <col min="28" max="29" width="13.85546875" style="110" bestFit="1" customWidth="1"/>
    <col min="30" max="16384" width="10.7109375" style="110"/>
  </cols>
  <sheetData>
    <row r="1" spans="1:29" ht="15">
      <c r="A1" s="108" t="s">
        <v>374</v>
      </c>
    </row>
    <row r="2" spans="1:29" s="113" customFormat="1" ht="20.100000000000001" customHeight="1">
      <c r="A2" s="111" t="s">
        <v>375</v>
      </c>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row>
    <row r="3" spans="1:29" s="113" customFormat="1" ht="20.100000000000001" customHeight="1">
      <c r="A3" s="111" t="s">
        <v>78</v>
      </c>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row>
    <row r="4" spans="1:29" ht="20.100000000000001" customHeight="1" thickBot="1">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row>
    <row r="5" spans="1:29" ht="20.100000000000001" customHeight="1" thickBot="1">
      <c r="A5" s="116" t="s">
        <v>288</v>
      </c>
      <c r="B5" s="117">
        <v>1997</v>
      </c>
      <c r="C5" s="117">
        <v>1998</v>
      </c>
      <c r="D5" s="117">
        <v>1999</v>
      </c>
      <c r="E5" s="117">
        <v>2000</v>
      </c>
      <c r="F5" s="117">
        <v>2001</v>
      </c>
      <c r="G5" s="117">
        <v>2002</v>
      </c>
      <c r="H5" s="117">
        <v>2003</v>
      </c>
      <c r="I5" s="117">
        <v>2004</v>
      </c>
      <c r="J5" s="117">
        <v>2005</v>
      </c>
      <c r="K5" s="117">
        <v>2006</v>
      </c>
      <c r="L5" s="117">
        <v>2007</v>
      </c>
      <c r="M5" s="117">
        <v>2008</v>
      </c>
      <c r="N5" s="117">
        <v>2009</v>
      </c>
      <c r="O5" s="117">
        <v>2010</v>
      </c>
      <c r="P5" s="117">
        <v>2011</v>
      </c>
      <c r="Q5" s="117">
        <v>2012</v>
      </c>
      <c r="R5" s="117">
        <v>2013</v>
      </c>
      <c r="S5" s="117">
        <v>2014</v>
      </c>
      <c r="T5" s="117">
        <v>2015</v>
      </c>
      <c r="U5" s="117">
        <v>2016</v>
      </c>
      <c r="V5" s="117">
        <v>2017</v>
      </c>
      <c r="W5" s="117">
        <v>2018</v>
      </c>
      <c r="X5" s="117">
        <v>2019</v>
      </c>
      <c r="Y5" s="117">
        <v>2020</v>
      </c>
      <c r="Z5" s="117">
        <v>2021</v>
      </c>
      <c r="AA5" s="117">
        <v>2022</v>
      </c>
      <c r="AB5" s="117">
        <v>2023</v>
      </c>
      <c r="AC5" s="117">
        <v>2024</v>
      </c>
    </row>
    <row r="6" spans="1:29" s="113" customFormat="1" ht="18.75" thickBot="1">
      <c r="A6" s="118" t="s">
        <v>376</v>
      </c>
      <c r="B6" s="119">
        <v>0.16701415702144293</v>
      </c>
      <c r="C6" s="119">
        <v>0.18308576957356654</v>
      </c>
      <c r="D6" s="119">
        <v>0.19249931923166147</v>
      </c>
      <c r="E6" s="119">
        <v>0.19602491931753935</v>
      </c>
      <c r="F6" s="119">
        <v>0.20554060974884483</v>
      </c>
      <c r="G6" s="119">
        <v>0.21497796528724</v>
      </c>
      <c r="H6" s="119">
        <v>0.2073002431373481</v>
      </c>
      <c r="I6" s="119">
        <v>0.21401763737025262</v>
      </c>
      <c r="J6" s="119">
        <v>0.22474226648300366</v>
      </c>
      <c r="K6" s="119">
        <v>0.22528378803690077</v>
      </c>
      <c r="L6" s="119">
        <v>0.22731336001465513</v>
      </c>
      <c r="M6" s="119">
        <v>0.23011614395573915</v>
      </c>
      <c r="N6" s="119">
        <v>0.22145701484220909</v>
      </c>
      <c r="O6" s="119">
        <v>0.23637867613799399</v>
      </c>
      <c r="P6" s="119">
        <v>0.22581897025669712</v>
      </c>
      <c r="Q6" s="119">
        <v>0.22270879950654604</v>
      </c>
      <c r="R6" s="119">
        <v>0.22113043686496225</v>
      </c>
      <c r="S6" s="119">
        <v>0.21136599178763066</v>
      </c>
      <c r="T6" s="119">
        <v>0.20833023025519073</v>
      </c>
      <c r="U6" s="119">
        <v>0.20990850510505582</v>
      </c>
      <c r="V6" s="119">
        <v>0.2101066827260826</v>
      </c>
      <c r="W6" s="119">
        <v>0.21258841109928869</v>
      </c>
      <c r="X6" s="119">
        <v>0.22135320951151741</v>
      </c>
      <c r="Y6" s="119">
        <v>0.19292692334684844</v>
      </c>
      <c r="Z6" s="119">
        <v>0.21444953705525088</v>
      </c>
      <c r="AA6" s="119">
        <v>0.22950194728181822</v>
      </c>
      <c r="AB6" s="119">
        <v>0.21505602852213132</v>
      </c>
      <c r="AC6" s="119">
        <v>0.22814029437295485</v>
      </c>
    </row>
    <row r="7" spans="1:29" s="122" customFormat="1" ht="15.75" customHeight="1">
      <c r="A7" s="120" t="s">
        <v>377</v>
      </c>
      <c r="B7" s="121">
        <v>0.10682926698464809</v>
      </c>
      <c r="C7" s="121">
        <v>0.11149029867082488</v>
      </c>
      <c r="D7" s="121">
        <v>0.12348436673489864</v>
      </c>
      <c r="E7" s="121">
        <v>0.13025498802817778</v>
      </c>
      <c r="F7" s="121">
        <v>0.13620933207186062</v>
      </c>
      <c r="G7" s="121">
        <v>0.14770464627910068</v>
      </c>
      <c r="H7" s="121">
        <v>0.1413715782647017</v>
      </c>
      <c r="I7" s="121">
        <v>0.14649852612732611</v>
      </c>
      <c r="J7" s="121">
        <v>0.15344697736821286</v>
      </c>
      <c r="K7" s="121">
        <v>0.1490751752001542</v>
      </c>
      <c r="L7" s="121">
        <v>0.15348128037521486</v>
      </c>
      <c r="M7" s="121">
        <v>0.14995709730839021</v>
      </c>
      <c r="N7" s="121">
        <v>0.13685386899197385</v>
      </c>
      <c r="O7" s="121">
        <v>0.13670275531133985</v>
      </c>
      <c r="P7" s="121">
        <v>0.14370201982295089</v>
      </c>
      <c r="Q7" s="121">
        <v>0.13448958123406518</v>
      </c>
      <c r="R7" s="121">
        <v>0.13507967612456431</v>
      </c>
      <c r="S7" s="121">
        <v>0.12790863757660964</v>
      </c>
      <c r="T7" s="121">
        <v>0.12761246852990227</v>
      </c>
      <c r="U7" s="121">
        <v>0.1307559366428856</v>
      </c>
      <c r="V7" s="121">
        <v>0.12687969022325093</v>
      </c>
      <c r="W7" s="121">
        <v>0.12921676256764228</v>
      </c>
      <c r="X7" s="121">
        <v>0.12803709446573086</v>
      </c>
      <c r="Y7" s="121">
        <v>0.11820895480216394</v>
      </c>
      <c r="Z7" s="121">
        <v>0.13267792511525828</v>
      </c>
      <c r="AA7" s="121">
        <v>0.13790129311666438</v>
      </c>
      <c r="AB7" s="121">
        <v>0.13152309849682506</v>
      </c>
      <c r="AC7" s="121">
        <v>0.14389630723413677</v>
      </c>
    </row>
    <row r="8" spans="1:29" ht="15.75" customHeight="1">
      <c r="A8" s="123" t="s">
        <v>378</v>
      </c>
      <c r="B8" s="124">
        <v>5.3936713692372519E-3</v>
      </c>
      <c r="C8" s="124">
        <v>6.5156346200083599E-3</v>
      </c>
      <c r="D8" s="124">
        <v>7.2271517137510394E-3</v>
      </c>
      <c r="E8" s="124">
        <v>7.0870089219560286E-3</v>
      </c>
      <c r="F8" s="124">
        <v>6.9002401920222342E-3</v>
      </c>
      <c r="G8" s="124">
        <v>5.3443273956248569E-3</v>
      </c>
      <c r="H8" s="124">
        <v>4.7351481555757222E-3</v>
      </c>
      <c r="I8" s="124">
        <v>4.6968291471955522E-3</v>
      </c>
      <c r="J8" s="124">
        <v>4.1555379961601621E-3</v>
      </c>
      <c r="K8" s="124">
        <v>4.1413256419090107E-3</v>
      </c>
      <c r="L8" s="124">
        <v>4.490861727415185E-3</v>
      </c>
      <c r="M8" s="124">
        <v>5.5216596553359495E-3</v>
      </c>
      <c r="N8" s="124">
        <v>4.7907939505961806E-3</v>
      </c>
      <c r="O8" s="124">
        <v>5.4282493731445565E-3</v>
      </c>
      <c r="P8" s="124">
        <v>6.0965101520003458E-3</v>
      </c>
      <c r="Q8" s="124">
        <v>6.4525653537410993E-3</v>
      </c>
      <c r="R8" s="124">
        <v>6.9657480688694456E-3</v>
      </c>
      <c r="S8" s="124">
        <v>6.3269725433128853E-3</v>
      </c>
      <c r="T8" s="124">
        <v>6.4949405370116784E-3</v>
      </c>
      <c r="U8" s="124">
        <v>5.0069924115917199E-3</v>
      </c>
      <c r="V8" s="124">
        <v>4.9239378906548352E-3</v>
      </c>
      <c r="W8" s="124">
        <v>5.8077575529717762E-3</v>
      </c>
      <c r="X8" s="124">
        <v>5.8241350081930021E-3</v>
      </c>
      <c r="Y8" s="124">
        <v>6.011316562958397E-3</v>
      </c>
      <c r="Z8" s="124">
        <v>6.8763091911501336E-3</v>
      </c>
      <c r="AA8" s="124">
        <v>5.8611703523529513E-3</v>
      </c>
      <c r="AB8" s="124">
        <v>4.9547920074950987E-3</v>
      </c>
      <c r="AC8" s="124">
        <v>6.6199438104476626E-3</v>
      </c>
    </row>
    <row r="9" spans="1:29" ht="15.75" customHeight="1">
      <c r="A9" s="123" t="s">
        <v>379</v>
      </c>
      <c r="B9" s="124">
        <v>1.7385701951035681E-2</v>
      </c>
      <c r="C9" s="124">
        <v>1.5786915627360076E-2</v>
      </c>
      <c r="D9" s="124">
        <v>1.4787655397369062E-2</v>
      </c>
      <c r="E9" s="124">
        <v>1.4761578335782849E-2</v>
      </c>
      <c r="F9" s="124">
        <v>1.4394354705758785E-2</v>
      </c>
      <c r="G9" s="124">
        <v>1.2508748522984241E-2</v>
      </c>
      <c r="H9" s="124">
        <v>1.0404717050155917E-2</v>
      </c>
      <c r="I9" s="124">
        <v>1.0876936215902747E-2</v>
      </c>
      <c r="J9" s="124">
        <v>1.1264971434360449E-2</v>
      </c>
      <c r="K9" s="124">
        <v>1.1365713095268364E-2</v>
      </c>
      <c r="L9" s="124">
        <v>1.1717865009684126E-2</v>
      </c>
      <c r="M9" s="124">
        <v>1.2013983874935345E-2</v>
      </c>
      <c r="N9" s="124">
        <v>8.4266537626331139E-3</v>
      </c>
      <c r="O9" s="124">
        <v>9.6642547695719328E-3</v>
      </c>
      <c r="P9" s="124">
        <v>9.4761851920069674E-3</v>
      </c>
      <c r="Q9" s="124">
        <v>9.2383017997878878E-3</v>
      </c>
      <c r="R9" s="124">
        <v>8.2671650464620529E-3</v>
      </c>
      <c r="S9" s="124">
        <v>8.6773862594687022E-3</v>
      </c>
      <c r="T9" s="124">
        <v>8.1034103540715951E-3</v>
      </c>
      <c r="U9" s="124">
        <v>6.7461757421980583E-3</v>
      </c>
      <c r="V9" s="124">
        <v>7.2936992244255075E-3</v>
      </c>
      <c r="W9" s="124">
        <v>7.9135075945135653E-3</v>
      </c>
      <c r="X9" s="124">
        <v>7.1301953502418943E-3</v>
      </c>
      <c r="Y9" s="124">
        <v>7.4504015969570885E-3</v>
      </c>
      <c r="Z9" s="124">
        <v>7.910007083815342E-3</v>
      </c>
      <c r="AA9" s="124">
        <v>5.9420098758411798E-3</v>
      </c>
      <c r="AB9" s="124">
        <v>5.4212581682897241E-3</v>
      </c>
      <c r="AC9" s="124">
        <v>7.1839358002281336E-3</v>
      </c>
    </row>
    <row r="10" spans="1:29" ht="15.75" customHeight="1">
      <c r="A10" s="125" t="s">
        <v>380</v>
      </c>
      <c r="B10" s="124">
        <v>2.9821390749942334E-3</v>
      </c>
      <c r="C10" s="124">
        <v>2.5292748752682439E-3</v>
      </c>
      <c r="D10" s="124">
        <v>2.0965306566682962E-3</v>
      </c>
      <c r="E10" s="124">
        <v>1.6661134581879965E-3</v>
      </c>
      <c r="F10" s="124">
        <v>1.5252092079908173E-3</v>
      </c>
      <c r="G10" s="124">
        <v>1.2919061123984456E-3</v>
      </c>
      <c r="H10" s="124">
        <v>1.1604140248455794E-3</v>
      </c>
      <c r="I10" s="124">
        <v>1.1770114020325558E-3</v>
      </c>
      <c r="J10" s="124">
        <v>1.0608994666241088E-3</v>
      </c>
      <c r="K10" s="124">
        <v>9.9456450146338414E-4</v>
      </c>
      <c r="L10" s="124">
        <v>1.0305502998299177E-3</v>
      </c>
      <c r="M10" s="124">
        <v>1.0326615198343969E-3</v>
      </c>
      <c r="N10" s="124">
        <v>9.9430886145058942E-4</v>
      </c>
      <c r="O10" s="124">
        <v>9.5356994913993823E-4</v>
      </c>
      <c r="P10" s="124">
        <v>8.5589339370401604E-4</v>
      </c>
      <c r="Q10" s="124">
        <v>8.4724408327926611E-4</v>
      </c>
      <c r="R10" s="124">
        <v>9.5627688847170283E-4</v>
      </c>
      <c r="S10" s="124">
        <v>9.7840222453298938E-4</v>
      </c>
      <c r="T10" s="124">
        <v>9.4761083551990043E-4</v>
      </c>
      <c r="U10" s="124">
        <v>9.1213185548096108E-4</v>
      </c>
      <c r="V10" s="124">
        <v>7.9110390639153467E-4</v>
      </c>
      <c r="W10" s="124">
        <v>7.4354027639496193E-4</v>
      </c>
      <c r="X10" s="124">
        <v>7.5231301914139887E-4</v>
      </c>
      <c r="Y10" s="124">
        <v>7.8518789990033244E-4</v>
      </c>
      <c r="Z10" s="124">
        <v>6.1879551411115838E-4</v>
      </c>
      <c r="AA10" s="124">
        <v>6.6788266191791334E-4</v>
      </c>
      <c r="AB10" s="124">
        <v>3.4947827764819395E-4</v>
      </c>
      <c r="AC10" s="124">
        <v>6.9482603145359055E-4</v>
      </c>
    </row>
    <row r="11" spans="1:29" ht="15.75" customHeight="1">
      <c r="A11" s="125" t="s">
        <v>381</v>
      </c>
      <c r="B11" s="124">
        <v>0</v>
      </c>
      <c r="C11" s="124">
        <v>0</v>
      </c>
      <c r="D11" s="124">
        <v>0</v>
      </c>
      <c r="E11" s="124">
        <v>1.6195445020975646E-3</v>
      </c>
      <c r="F11" s="124">
        <v>1.521209635784079E-3</v>
      </c>
      <c r="G11" s="124">
        <v>1.2059346684889631E-3</v>
      </c>
      <c r="H11" s="124">
        <v>1.1056959659332586E-3</v>
      </c>
      <c r="I11" s="124">
        <v>1.0209780858596897E-3</v>
      </c>
      <c r="J11" s="124">
        <v>1.0861527773854385E-3</v>
      </c>
      <c r="K11" s="124">
        <v>1.0900796285769863E-3</v>
      </c>
      <c r="L11" s="124">
        <v>9.5168419078299894E-4</v>
      </c>
      <c r="M11" s="124">
        <v>8.0047216784105886E-4</v>
      </c>
      <c r="N11" s="124">
        <v>6.9125952034097739E-4</v>
      </c>
      <c r="O11" s="124">
        <v>6.2536451206185743E-4</v>
      </c>
      <c r="P11" s="124">
        <v>6.8337420935830992E-4</v>
      </c>
      <c r="Q11" s="124">
        <v>6.6807818762392953E-4</v>
      </c>
      <c r="R11" s="124">
        <v>6.4484173005994474E-4</v>
      </c>
      <c r="S11" s="124">
        <v>5.8490009509940184E-4</v>
      </c>
      <c r="T11" s="124">
        <v>4.3269863227770222E-4</v>
      </c>
      <c r="U11" s="124">
        <v>4.2809973567147966E-4</v>
      </c>
      <c r="V11" s="124">
        <v>4.4702114923569181E-4</v>
      </c>
      <c r="W11" s="124">
        <v>3.9514158632331E-4</v>
      </c>
      <c r="X11" s="124">
        <v>4.9274365950602208E-4</v>
      </c>
      <c r="Y11" s="124">
        <v>3.9228883282966365E-4</v>
      </c>
      <c r="Z11" s="124">
        <v>2.9819990421737342E-4</v>
      </c>
      <c r="AA11" s="124">
        <v>2.4933417913018257E-4</v>
      </c>
      <c r="AB11" s="124">
        <v>2.699398702348935E-4</v>
      </c>
      <c r="AC11" s="124">
        <v>2.8447566672771028E-4</v>
      </c>
    </row>
    <row r="12" spans="1:29" ht="15.75" customHeight="1">
      <c r="A12" s="125" t="s">
        <v>382</v>
      </c>
      <c r="B12" s="124">
        <v>0</v>
      </c>
      <c r="C12" s="124">
        <v>0</v>
      </c>
      <c r="D12" s="124">
        <v>0</v>
      </c>
      <c r="E12" s="124">
        <v>1.9805036315000486E-3</v>
      </c>
      <c r="F12" s="124">
        <v>1.971977545552105E-3</v>
      </c>
      <c r="G12" s="124">
        <v>1.7893304505193573E-3</v>
      </c>
      <c r="H12" s="124">
        <v>1.3467063774455675E-3</v>
      </c>
      <c r="I12" s="124">
        <v>1.5140154649755718E-3</v>
      </c>
      <c r="J12" s="124">
        <v>1.7236392331231643E-3</v>
      </c>
      <c r="K12" s="124">
        <v>1.7862984014477736E-3</v>
      </c>
      <c r="L12" s="124">
        <v>1.9220730229289446E-3</v>
      </c>
      <c r="M12" s="124">
        <v>1.9395272537876423E-3</v>
      </c>
      <c r="N12" s="124">
        <v>6.2923680030658525E-4</v>
      </c>
      <c r="O12" s="124">
        <v>1.4890816710598626E-3</v>
      </c>
      <c r="P12" s="124">
        <v>1.6330352860510853E-3</v>
      </c>
      <c r="Q12" s="124">
        <v>9.0968320289744483E-4</v>
      </c>
      <c r="R12" s="124">
        <v>7.0837684454649983E-4</v>
      </c>
      <c r="S12" s="124">
        <v>8.4976067480782374E-4</v>
      </c>
      <c r="T12" s="124">
        <v>7.2693109466346272E-4</v>
      </c>
      <c r="U12" s="124">
        <v>5.2615828950936493E-4</v>
      </c>
      <c r="V12" s="124">
        <v>6.7829620562379533E-4</v>
      </c>
      <c r="W12" s="124">
        <v>8.1570788401989335E-4</v>
      </c>
      <c r="X12" s="124">
        <v>7.6320123293486836E-4</v>
      </c>
      <c r="Y12" s="124">
        <v>4.5287121425473985E-4</v>
      </c>
      <c r="Z12" s="124">
        <v>3.8245011941263809E-4</v>
      </c>
      <c r="AA12" s="124">
        <v>4.0161890988163338E-4</v>
      </c>
      <c r="AB12" s="124">
        <v>6.3219791464124916E-4</v>
      </c>
      <c r="AC12" s="124">
        <v>7.3421627146400838E-4</v>
      </c>
    </row>
    <row r="13" spans="1:29" ht="15.75" customHeight="1">
      <c r="A13" s="125" t="s">
        <v>383</v>
      </c>
      <c r="B13" s="124">
        <v>0</v>
      </c>
      <c r="C13" s="124">
        <v>0</v>
      </c>
      <c r="D13" s="124">
        <v>0</v>
      </c>
      <c r="E13" s="124">
        <v>4.0361602368074708E-3</v>
      </c>
      <c r="F13" s="124">
        <v>3.6119457757865622E-3</v>
      </c>
      <c r="G13" s="124">
        <v>3.2799865354036467E-3</v>
      </c>
      <c r="H13" s="124">
        <v>2.6557476988250972E-3</v>
      </c>
      <c r="I13" s="124">
        <v>2.6430624977980574E-3</v>
      </c>
      <c r="J13" s="124">
        <v>2.4316145244003486E-3</v>
      </c>
      <c r="K13" s="124">
        <v>2.552567006872019E-3</v>
      </c>
      <c r="L13" s="124">
        <v>2.827801628380889E-3</v>
      </c>
      <c r="M13" s="124">
        <v>3.3285279607004207E-3</v>
      </c>
      <c r="N13" s="124">
        <v>2.5155212528190376E-3</v>
      </c>
      <c r="O13" s="124">
        <v>2.897408709471251E-3</v>
      </c>
      <c r="P13" s="124">
        <v>3.1342322743897499E-3</v>
      </c>
      <c r="Q13" s="124">
        <v>3.3085098443804682E-3</v>
      </c>
      <c r="R13" s="124">
        <v>2.7428961546094857E-3</v>
      </c>
      <c r="S13" s="124">
        <v>2.6093122633420928E-3</v>
      </c>
      <c r="T13" s="124">
        <v>2.8023667096557965E-3</v>
      </c>
      <c r="U13" s="124">
        <v>2.1456261026613459E-3</v>
      </c>
      <c r="V13" s="124">
        <v>2.1253711234358063E-3</v>
      </c>
      <c r="W13" s="124">
        <v>2.5700092987168653E-3</v>
      </c>
      <c r="X13" s="124">
        <v>2.5862655614786044E-3</v>
      </c>
      <c r="Y13" s="124">
        <v>2.8834585364047047E-3</v>
      </c>
      <c r="Z13" s="124">
        <v>3.5167314063955383E-3</v>
      </c>
      <c r="AA13" s="124">
        <v>2.4327408875553834E-3</v>
      </c>
      <c r="AB13" s="124">
        <v>2.0659527193369561E-3</v>
      </c>
      <c r="AC13" s="124">
        <v>2.5220858555834694E-3</v>
      </c>
    </row>
    <row r="14" spans="1:29" ht="15.75" customHeight="1">
      <c r="A14" s="125" t="s">
        <v>384</v>
      </c>
      <c r="B14" s="124">
        <v>1.4403562876041446E-2</v>
      </c>
      <c r="C14" s="124">
        <v>1.3257640752091833E-2</v>
      </c>
      <c r="D14" s="124">
        <v>1.2691124740700766E-2</v>
      </c>
      <c r="E14" s="124">
        <v>5.4592565071897694E-3</v>
      </c>
      <c r="F14" s="124">
        <v>5.7640125406452202E-3</v>
      </c>
      <c r="G14" s="124">
        <v>4.9415907561738293E-3</v>
      </c>
      <c r="H14" s="124">
        <v>4.1361529831064146E-3</v>
      </c>
      <c r="I14" s="124">
        <v>4.5218687652368731E-3</v>
      </c>
      <c r="J14" s="124">
        <v>4.9626654328273874E-3</v>
      </c>
      <c r="K14" s="124">
        <v>4.9422035569082028E-3</v>
      </c>
      <c r="L14" s="124">
        <v>4.9857558677613755E-3</v>
      </c>
      <c r="M14" s="124">
        <v>4.9127949727718239E-3</v>
      </c>
      <c r="N14" s="124">
        <v>3.596327327715925E-3</v>
      </c>
      <c r="O14" s="124">
        <v>3.6988299278390246E-3</v>
      </c>
      <c r="P14" s="124">
        <v>3.1696500285038056E-3</v>
      </c>
      <c r="Q14" s="124">
        <v>3.5047864816067772E-3</v>
      </c>
      <c r="R14" s="124">
        <v>3.2147734287744202E-3</v>
      </c>
      <c r="S14" s="124">
        <v>3.6550110016863942E-3</v>
      </c>
      <c r="T14" s="124">
        <v>3.1938030819547349E-3</v>
      </c>
      <c r="U14" s="124">
        <v>2.7341597588749073E-3</v>
      </c>
      <c r="V14" s="124">
        <v>3.2519068397386798E-3</v>
      </c>
      <c r="W14" s="124">
        <v>3.3891085490585335E-3</v>
      </c>
      <c r="X14" s="124">
        <v>2.5356718771809977E-3</v>
      </c>
      <c r="Y14" s="124">
        <v>2.9365951135676481E-3</v>
      </c>
      <c r="Z14" s="124">
        <v>3.0938301396786355E-3</v>
      </c>
      <c r="AA14" s="124">
        <v>2.190433237356067E-3</v>
      </c>
      <c r="AB14" s="124">
        <v>2.1036893864284311E-3</v>
      </c>
      <c r="AC14" s="124">
        <v>2.9483319749993558E-3</v>
      </c>
    </row>
    <row r="15" spans="1:29" s="122" customFormat="1" ht="15.75" customHeight="1">
      <c r="A15" s="126" t="s">
        <v>385</v>
      </c>
      <c r="B15" s="124">
        <v>3.5731950291002151E-2</v>
      </c>
      <c r="C15" s="124">
        <v>4.281080894916052E-2</v>
      </c>
      <c r="D15" s="124">
        <v>4.3661021686450578E-2</v>
      </c>
      <c r="E15" s="124">
        <v>4.2734518105703563E-2</v>
      </c>
      <c r="F15" s="124">
        <v>4.5636626499442973E-2</v>
      </c>
      <c r="G15" s="124">
        <v>5.3045297240672126E-2</v>
      </c>
      <c r="H15" s="124">
        <v>4.8676909579022071E-2</v>
      </c>
      <c r="I15" s="124">
        <v>4.7050237280972407E-2</v>
      </c>
      <c r="J15" s="124">
        <v>5.3112690482292925E-2</v>
      </c>
      <c r="K15" s="124">
        <v>5.2225622870811554E-2</v>
      </c>
      <c r="L15" s="124">
        <v>5.4411559664774171E-2</v>
      </c>
      <c r="M15" s="124">
        <v>5.7640120746634577E-2</v>
      </c>
      <c r="N15" s="124">
        <v>5.3643466582980678E-2</v>
      </c>
      <c r="O15" s="124">
        <v>5.009780495659602E-2</v>
      </c>
      <c r="P15" s="124">
        <v>5.388007995269143E-2</v>
      </c>
      <c r="Q15" s="124">
        <v>5.1228581291519158E-2</v>
      </c>
      <c r="R15" s="124">
        <v>5.1127491009891418E-2</v>
      </c>
      <c r="S15" s="124">
        <v>4.9435310352052564E-2</v>
      </c>
      <c r="T15" s="124">
        <v>5.0108927709228937E-2</v>
      </c>
      <c r="U15" s="124">
        <v>5.4410177231547632E-2</v>
      </c>
      <c r="V15" s="124">
        <v>5.1604584959591637E-2</v>
      </c>
      <c r="W15" s="124">
        <v>5.179182808445356E-2</v>
      </c>
      <c r="X15" s="124">
        <v>5.391249116829773E-2</v>
      </c>
      <c r="Y15" s="124">
        <v>5.0479010398989978E-2</v>
      </c>
      <c r="Z15" s="124">
        <v>5.753627976408255E-2</v>
      </c>
      <c r="AA15" s="124">
        <v>6.6194835578932715E-2</v>
      </c>
      <c r="AB15" s="124">
        <v>6.3578597112524698E-2</v>
      </c>
      <c r="AC15" s="124">
        <v>6.6852416399459921E-2</v>
      </c>
    </row>
    <row r="16" spans="1:29" ht="15.75" customHeight="1">
      <c r="A16" s="125" t="s">
        <v>386</v>
      </c>
      <c r="B16" s="124">
        <v>2.8012664248265816E-3</v>
      </c>
      <c r="C16" s="124">
        <v>2.8375474267197812E-3</v>
      </c>
      <c r="D16" s="124">
        <v>2.7941096532211472E-3</v>
      </c>
      <c r="E16" s="124">
        <v>3.014866070430599E-3</v>
      </c>
      <c r="F16" s="124">
        <v>3.0550914925147198E-3</v>
      </c>
      <c r="G16" s="124">
        <v>2.9757947279906889E-3</v>
      </c>
      <c r="H16" s="124">
        <v>2.9564138566344467E-3</v>
      </c>
      <c r="I16" s="124">
        <v>3.1189439452625548E-3</v>
      </c>
      <c r="J16" s="124">
        <v>3.3650688009537505E-3</v>
      </c>
      <c r="K16" s="124">
        <v>3.5520921375782584E-3</v>
      </c>
      <c r="L16" s="124">
        <v>5.039995251360182E-3</v>
      </c>
      <c r="M16" s="124">
        <v>4.8387917229494176E-3</v>
      </c>
      <c r="N16" s="124">
        <v>4.4428676463425555E-3</v>
      </c>
      <c r="O16" s="124">
        <v>4.454485259642693E-3</v>
      </c>
      <c r="P16" s="124">
        <v>4.9938718398828824E-3</v>
      </c>
      <c r="Q16" s="124">
        <v>5.0148670073613235E-3</v>
      </c>
      <c r="R16" s="124">
        <v>4.9325894882585285E-3</v>
      </c>
      <c r="S16" s="124">
        <v>4.7948028979520668E-3</v>
      </c>
      <c r="T16" s="124">
        <v>4.7025743868664913E-3</v>
      </c>
      <c r="U16" s="124">
        <v>4.8642932342834134E-3</v>
      </c>
      <c r="V16" s="124">
        <v>4.9896313832239903E-3</v>
      </c>
      <c r="W16" s="124">
        <v>4.9954642804624699E-3</v>
      </c>
      <c r="X16" s="124">
        <v>5.392203745425277E-3</v>
      </c>
      <c r="Y16" s="124">
        <v>5.47409286418425E-3</v>
      </c>
      <c r="Z16" s="124">
        <v>6.2429575417705316E-3</v>
      </c>
      <c r="AA16" s="124">
        <v>5.7728553461356318E-3</v>
      </c>
      <c r="AB16" s="124">
        <v>5.3881539460785329E-3</v>
      </c>
      <c r="AC16" s="124">
        <v>6.0472821615723763E-3</v>
      </c>
    </row>
    <row r="17" spans="1:29" ht="15.75" customHeight="1">
      <c r="A17" s="125" t="s">
        <v>387</v>
      </c>
      <c r="B17" s="124">
        <v>1.2828039356070839E-2</v>
      </c>
      <c r="C17" s="124">
        <v>1.1810350657673808E-2</v>
      </c>
      <c r="D17" s="124">
        <v>1.1731440149313628E-2</v>
      </c>
      <c r="E17" s="124">
        <v>1.4603798414970223E-2</v>
      </c>
      <c r="F17" s="124">
        <v>1.280092437295062E-2</v>
      </c>
      <c r="G17" s="124">
        <v>2.2394769147492048E-2</v>
      </c>
      <c r="H17" s="124">
        <v>1.8385038828091838E-2</v>
      </c>
      <c r="I17" s="124">
        <v>1.8462090731285997E-2</v>
      </c>
      <c r="J17" s="124">
        <v>2.2558429046287808E-2</v>
      </c>
      <c r="K17" s="124">
        <v>2.2397586779861194E-2</v>
      </c>
      <c r="L17" s="124">
        <v>2.4923320119686936E-2</v>
      </c>
      <c r="M17" s="124">
        <v>2.6179885515329973E-2</v>
      </c>
      <c r="N17" s="124">
        <v>2.4327391287105701E-2</v>
      </c>
      <c r="O17" s="124">
        <v>2.1841908353459023E-2</v>
      </c>
      <c r="P17" s="124">
        <v>2.2554360907838578E-2</v>
      </c>
      <c r="Q17" s="124">
        <v>2.0998828982872534E-2</v>
      </c>
      <c r="R17" s="124">
        <v>2.1408808402756024E-2</v>
      </c>
      <c r="S17" s="124">
        <v>1.9503359749373703E-2</v>
      </c>
      <c r="T17" s="124">
        <v>1.7946782836495354E-2</v>
      </c>
      <c r="U17" s="124">
        <v>2.1366717263629462E-2</v>
      </c>
      <c r="V17" s="124">
        <v>1.7918277736766811E-2</v>
      </c>
      <c r="W17" s="124">
        <v>1.7731526933938192E-2</v>
      </c>
      <c r="X17" s="124">
        <v>1.7791324910949185E-2</v>
      </c>
      <c r="Y17" s="124">
        <v>1.6641536556449357E-2</v>
      </c>
      <c r="Z17" s="124">
        <v>2.3797537529852249E-2</v>
      </c>
      <c r="AA17" s="124">
        <v>2.8406685428173491E-2</v>
      </c>
      <c r="AB17" s="124">
        <v>2.3923422955133753E-2</v>
      </c>
      <c r="AC17" s="124">
        <v>2.3877778756435288E-2</v>
      </c>
    </row>
    <row r="18" spans="1:29" s="122" customFormat="1" ht="15.75" customHeight="1">
      <c r="A18" s="125" t="s">
        <v>388</v>
      </c>
      <c r="B18" s="124">
        <v>2.0102644510104722E-2</v>
      </c>
      <c r="C18" s="124">
        <v>2.8162910864766931E-2</v>
      </c>
      <c r="D18" s="124">
        <v>2.9135471883915798E-2</v>
      </c>
      <c r="E18" s="124">
        <v>2.5115853620302747E-2</v>
      </c>
      <c r="F18" s="124">
        <v>2.9780610633977626E-2</v>
      </c>
      <c r="G18" s="124">
        <v>2.7674733365189379E-2</v>
      </c>
      <c r="H18" s="124">
        <v>2.7335456894295802E-2</v>
      </c>
      <c r="I18" s="124">
        <v>2.5469202604423858E-2</v>
      </c>
      <c r="J18" s="124">
        <v>2.718919263505136E-2</v>
      </c>
      <c r="K18" s="124">
        <v>2.6275943953372096E-2</v>
      </c>
      <c r="L18" s="124">
        <v>2.4448244293727054E-2</v>
      </c>
      <c r="M18" s="124">
        <v>2.6621443508355182E-2</v>
      </c>
      <c r="N18" s="124">
        <v>2.4873207649532419E-2</v>
      </c>
      <c r="O18" s="124">
        <v>2.3801411343494318E-2</v>
      </c>
      <c r="P18" s="124">
        <v>2.6331847204969963E-2</v>
      </c>
      <c r="Q18" s="124">
        <v>2.5214885301285295E-2</v>
      </c>
      <c r="R18" s="124">
        <v>2.4786093118876865E-2</v>
      </c>
      <c r="S18" s="124">
        <v>2.5137147704726789E-2</v>
      </c>
      <c r="T18" s="124">
        <v>2.7459570485867092E-2</v>
      </c>
      <c r="U18" s="124">
        <v>2.8179166733634756E-2</v>
      </c>
      <c r="V18" s="124">
        <v>2.8696675839600831E-2</v>
      </c>
      <c r="W18" s="124">
        <v>2.9064836870052905E-2</v>
      </c>
      <c r="X18" s="124">
        <v>3.0728962511923273E-2</v>
      </c>
      <c r="Y18" s="124">
        <v>2.8363380978356369E-2</v>
      </c>
      <c r="Z18" s="124">
        <v>2.7495784692459779E-2</v>
      </c>
      <c r="AA18" s="124">
        <v>3.2015294804623597E-2</v>
      </c>
      <c r="AB18" s="124">
        <v>3.4267020211312421E-2</v>
      </c>
      <c r="AC18" s="124">
        <v>3.6927355481452255E-2</v>
      </c>
    </row>
    <row r="19" spans="1:29" s="122" customFormat="1" ht="15.75" customHeight="1">
      <c r="A19" s="127" t="s">
        <v>389</v>
      </c>
      <c r="B19" s="124">
        <v>1.0613890809810678E-2</v>
      </c>
      <c r="C19" s="124">
        <v>1.1851255214989557E-2</v>
      </c>
      <c r="D19" s="124">
        <v>1.0528479841630653E-2</v>
      </c>
      <c r="E19" s="124">
        <v>1.1523233065135472E-2</v>
      </c>
      <c r="F19" s="124">
        <v>1.2862843022723974E-2</v>
      </c>
      <c r="G19" s="124">
        <v>1.1024899831812443E-2</v>
      </c>
      <c r="H19" s="124">
        <v>1.1422275240216754E-2</v>
      </c>
      <c r="I19" s="124">
        <v>1.209795150383745E-2</v>
      </c>
      <c r="J19" s="124">
        <v>1.3239019768170377E-2</v>
      </c>
      <c r="K19" s="124">
        <v>1.241040221284441E-2</v>
      </c>
      <c r="L19" s="124">
        <v>1.1790031595332644E-2</v>
      </c>
      <c r="M19" s="124">
        <v>1.3295336597745976E-2</v>
      </c>
      <c r="N19" s="124">
        <v>1.2623318279506336E-2</v>
      </c>
      <c r="O19" s="124">
        <v>1.264703085352137E-2</v>
      </c>
      <c r="P19" s="124">
        <v>1.3344442141922605E-2</v>
      </c>
      <c r="Q19" s="124">
        <v>1.3278746964227407E-2</v>
      </c>
      <c r="R19" s="124">
        <v>1.2544401566979564E-2</v>
      </c>
      <c r="S19" s="124">
        <v>1.2793709961373636E-2</v>
      </c>
      <c r="T19" s="124">
        <v>1.2627697457103822E-2</v>
      </c>
      <c r="U19" s="124">
        <v>1.3105996585760199E-2</v>
      </c>
      <c r="V19" s="124">
        <v>1.3825137836615601E-2</v>
      </c>
      <c r="W19" s="124">
        <v>1.4507632260817848E-2</v>
      </c>
      <c r="X19" s="124">
        <v>1.5810096381262382E-2</v>
      </c>
      <c r="Y19" s="124">
        <v>1.5088810454644509E-2</v>
      </c>
      <c r="Z19" s="124">
        <v>1.4500636024841324E-2</v>
      </c>
      <c r="AA19" s="124">
        <v>1.5194982845758322E-2</v>
      </c>
      <c r="AB19" s="124">
        <v>1.5055012945209525E-2</v>
      </c>
      <c r="AC19" s="124">
        <v>1.5697996208229981E-2</v>
      </c>
    </row>
    <row r="20" spans="1:29" ht="15.75" customHeight="1">
      <c r="A20" s="127" t="s">
        <v>390</v>
      </c>
      <c r="B20" s="124">
        <v>5.2619494475937764E-3</v>
      </c>
      <c r="C20" s="124">
        <v>1.18995072544448E-2</v>
      </c>
      <c r="D20" s="124">
        <v>1.2524841240771325E-2</v>
      </c>
      <c r="E20" s="124">
        <v>8.9042133758987906E-3</v>
      </c>
      <c r="F20" s="124">
        <v>1.1547045463581729E-2</v>
      </c>
      <c r="G20" s="124">
        <v>1.0897430988737336E-2</v>
      </c>
      <c r="H20" s="124">
        <v>1.0978156301982012E-2</v>
      </c>
      <c r="I20" s="124">
        <v>8.7696263893610113E-3</v>
      </c>
      <c r="J20" s="124">
        <v>9.1990707231283317E-3</v>
      </c>
      <c r="K20" s="124">
        <v>8.837405843565932E-3</v>
      </c>
      <c r="L20" s="124">
        <v>7.8993081078824381E-3</v>
      </c>
      <c r="M20" s="124">
        <v>8.2273282249472404E-3</v>
      </c>
      <c r="N20" s="124">
        <v>7.0300874059519595E-3</v>
      </c>
      <c r="O20" s="124">
        <v>6.4772113575384729E-3</v>
      </c>
      <c r="P20" s="124">
        <v>8.1216016355948224E-3</v>
      </c>
      <c r="Q20" s="124">
        <v>7.0312464389211508E-3</v>
      </c>
      <c r="R20" s="124">
        <v>6.9463573250152372E-3</v>
      </c>
      <c r="S20" s="124">
        <v>7.1312166099722074E-3</v>
      </c>
      <c r="T20" s="124">
        <v>8.9476795762255968E-3</v>
      </c>
      <c r="U20" s="124">
        <v>9.4752869778729227E-3</v>
      </c>
      <c r="V20" s="124">
        <v>9.0304458474178874E-3</v>
      </c>
      <c r="W20" s="124">
        <v>7.6505453542305597E-3</v>
      </c>
      <c r="X20" s="124">
        <v>7.7389560931510112E-3</v>
      </c>
      <c r="Y20" s="124">
        <v>6.3533091109912393E-3</v>
      </c>
      <c r="Z20" s="124">
        <v>6.1667539415504605E-3</v>
      </c>
      <c r="AA20" s="124">
        <v>9.62795045195965E-3</v>
      </c>
      <c r="AB20" s="124">
        <v>1.1314232999452155E-2</v>
      </c>
      <c r="AC20" s="124">
        <v>1.2519813760269777E-2</v>
      </c>
    </row>
    <row r="21" spans="1:29" ht="15.75" customHeight="1">
      <c r="A21" s="127" t="s">
        <v>391</v>
      </c>
      <c r="B21" s="124">
        <v>1.7624825751620752E-3</v>
      </c>
      <c r="C21" s="124">
        <v>1.9364859056358503E-3</v>
      </c>
      <c r="D21" s="124">
        <v>3.1699880072960582E-3</v>
      </c>
      <c r="E21" s="124">
        <v>2.708524391670289E-3</v>
      </c>
      <c r="F21" s="124">
        <v>3.4230329366784218E-3</v>
      </c>
      <c r="G21" s="124">
        <v>3.6073265662317309E-3</v>
      </c>
      <c r="H21" s="124">
        <v>3.2531812563574508E-3</v>
      </c>
      <c r="I21" s="124">
        <v>2.8412594144598168E-3</v>
      </c>
      <c r="J21" s="124">
        <v>2.8474369871815479E-3</v>
      </c>
      <c r="K21" s="124">
        <v>3.1033749436604812E-3</v>
      </c>
      <c r="L21" s="124">
        <v>2.9071252657214214E-3</v>
      </c>
      <c r="M21" s="124">
        <v>3.1939143042192149E-3</v>
      </c>
      <c r="N21" s="124">
        <v>3.2755146088568215E-3</v>
      </c>
      <c r="O21" s="124">
        <v>2.9836017268530632E-3</v>
      </c>
      <c r="P21" s="124">
        <v>3.1822483486280183E-3</v>
      </c>
      <c r="Q21" s="124">
        <v>3.169912483199297E-3</v>
      </c>
      <c r="R21" s="124">
        <v>3.4890591520776574E-3</v>
      </c>
      <c r="S21" s="124">
        <v>3.4253536990576949E-3</v>
      </c>
      <c r="T21" s="124">
        <v>4.1403418714746195E-3</v>
      </c>
      <c r="U21" s="124">
        <v>3.9715323081456347E-3</v>
      </c>
      <c r="V21" s="124">
        <v>4.1417003398266181E-3</v>
      </c>
      <c r="W21" s="124">
        <v>5.0451166754735474E-3</v>
      </c>
      <c r="X21" s="124">
        <v>5.3195909072810228E-3</v>
      </c>
      <c r="Y21" s="124">
        <v>5.2030817584668336E-3</v>
      </c>
      <c r="Z21" s="124">
        <v>4.9298010601705319E-3</v>
      </c>
      <c r="AA21" s="124">
        <v>5.5057913870682415E-3</v>
      </c>
      <c r="AB21" s="124">
        <v>6.0966420486079972E-3</v>
      </c>
      <c r="AC21" s="124">
        <v>6.8039217583404834E-3</v>
      </c>
    </row>
    <row r="22" spans="1:29" s="128" customFormat="1" ht="15.75" customHeight="1">
      <c r="A22" s="127" t="s">
        <v>392</v>
      </c>
      <c r="B22" s="124">
        <v>2.4643216775381955E-3</v>
      </c>
      <c r="C22" s="124">
        <v>2.4756624896967211E-3</v>
      </c>
      <c r="D22" s="124">
        <v>2.9121627942177626E-3</v>
      </c>
      <c r="E22" s="124">
        <v>1.9798827875981981E-3</v>
      </c>
      <c r="F22" s="124">
        <v>1.9476892109934942E-3</v>
      </c>
      <c r="G22" s="124">
        <v>2.1450759784078679E-3</v>
      </c>
      <c r="H22" s="124">
        <v>1.6818440957395812E-3</v>
      </c>
      <c r="I22" s="124">
        <v>1.7603652967655746E-3</v>
      </c>
      <c r="J22" s="124">
        <v>1.9036651565710978E-3</v>
      </c>
      <c r="K22" s="124">
        <v>1.9247609533012719E-3</v>
      </c>
      <c r="L22" s="124">
        <v>1.8517793247905486E-3</v>
      </c>
      <c r="M22" s="124">
        <v>1.9048643814427496E-3</v>
      </c>
      <c r="N22" s="124">
        <v>1.9442873552173035E-3</v>
      </c>
      <c r="O22" s="124">
        <v>1.6935674055814128E-3</v>
      </c>
      <c r="P22" s="124">
        <v>1.6835550788245187E-3</v>
      </c>
      <c r="Q22" s="124">
        <v>1.7349794149374331E-3</v>
      </c>
      <c r="R22" s="124">
        <v>1.8062750748044061E-3</v>
      </c>
      <c r="S22" s="124">
        <v>1.7868674343232487E-3</v>
      </c>
      <c r="T22" s="124">
        <v>1.7438515810630508E-3</v>
      </c>
      <c r="U22" s="124">
        <v>1.6263508618559988E-3</v>
      </c>
      <c r="V22" s="124">
        <v>1.6993918157407314E-3</v>
      </c>
      <c r="W22" s="124">
        <v>1.8615425795309522E-3</v>
      </c>
      <c r="X22" s="124">
        <v>1.8603191302288553E-3</v>
      </c>
      <c r="Y22" s="124">
        <v>1.7181796542537835E-3</v>
      </c>
      <c r="Z22" s="124">
        <v>1.8985936658974625E-3</v>
      </c>
      <c r="AA22" s="124">
        <v>1.6865701198373832E-3</v>
      </c>
      <c r="AB22" s="124">
        <v>1.8011322180427403E-3</v>
      </c>
      <c r="AC22" s="124">
        <v>1.9056237546120208E-3</v>
      </c>
    </row>
    <row r="23" spans="1:29" ht="15.75" customHeight="1">
      <c r="A23" s="126" t="s">
        <v>393</v>
      </c>
      <c r="B23" s="124">
        <v>3.9744456979451089E-3</v>
      </c>
      <c r="C23" s="124">
        <v>3.5255611367674606E-3</v>
      </c>
      <c r="D23" s="124">
        <v>4.4835483690191464E-3</v>
      </c>
      <c r="E23" s="124">
        <v>2.6064890301120518E-3</v>
      </c>
      <c r="F23" s="124">
        <v>2.7194021430886187E-3</v>
      </c>
      <c r="G23" s="124">
        <v>2.7005741532710229E-3</v>
      </c>
      <c r="H23" s="124">
        <v>2.5902149685237373E-3</v>
      </c>
      <c r="I23" s="124">
        <v>2.6826494711003086E-3</v>
      </c>
      <c r="J23" s="124">
        <v>2.8092759626568808E-3</v>
      </c>
      <c r="K23" s="124">
        <v>2.8194932883065143E-3</v>
      </c>
      <c r="L23" s="124">
        <v>2.8876025366327365E-3</v>
      </c>
      <c r="M23" s="124">
        <v>6.5406933088399668E-3</v>
      </c>
      <c r="N23" s="124">
        <v>5.788539945824441E-3</v>
      </c>
      <c r="O23" s="124">
        <v>6.8392154511270967E-3</v>
      </c>
      <c r="P23" s="124">
        <v>7.2990365520371487E-3</v>
      </c>
      <c r="Q23" s="124">
        <v>6.4433185501094805E-3</v>
      </c>
      <c r="R23" s="124">
        <v>5.5597797730470491E-3</v>
      </c>
      <c r="S23" s="124">
        <v>5.1727272810932288E-3</v>
      </c>
      <c r="T23" s="124">
        <v>5.8157048444068705E-3</v>
      </c>
      <c r="U23" s="124">
        <v>5.3885212024427503E-3</v>
      </c>
      <c r="V23" s="124">
        <v>5.3122202595555232E-3</v>
      </c>
      <c r="W23" s="124">
        <v>5.252053956222474E-3</v>
      </c>
      <c r="X23" s="124">
        <v>5.5546750102098402E-3</v>
      </c>
      <c r="Y23" s="124">
        <v>2.8973395388075932E-3</v>
      </c>
      <c r="Z23" s="124">
        <v>5.4513590671474745E-3</v>
      </c>
      <c r="AA23" s="124">
        <v>5.862410648908873E-3</v>
      </c>
      <c r="AB23" s="124">
        <v>5.6566072533234344E-3</v>
      </c>
      <c r="AC23" s="124">
        <v>5.7684241524696804E-3</v>
      </c>
    </row>
    <row r="24" spans="1:29" ht="15.75" customHeight="1">
      <c r="A24" s="126" t="s">
        <v>394</v>
      </c>
      <c r="B24" s="124">
        <v>2.0074768424009012E-2</v>
      </c>
      <c r="C24" s="124">
        <v>1.8653531551322836E-2</v>
      </c>
      <c r="D24" s="124">
        <v>2.9483707050010091E-2</v>
      </c>
      <c r="E24" s="124">
        <v>3.3211230402661628E-2</v>
      </c>
      <c r="F24" s="124">
        <v>3.505070270620074E-2</v>
      </c>
      <c r="G24" s="124">
        <v>3.4973242593503637E-2</v>
      </c>
      <c r="H24" s="124">
        <v>3.4579117938822929E-2</v>
      </c>
      <c r="I24" s="124">
        <v>4.0244645060451077E-2</v>
      </c>
      <c r="J24" s="124">
        <v>3.9888471729323083E-2</v>
      </c>
      <c r="K24" s="124">
        <v>3.7967676749853879E-2</v>
      </c>
      <c r="L24" s="124">
        <v>3.7935885872909254E-2</v>
      </c>
      <c r="M24" s="124">
        <v>3.9206311741113289E-2</v>
      </c>
      <c r="N24" s="124">
        <v>3.5690292526273225E-2</v>
      </c>
      <c r="O24" s="124">
        <v>3.6345314302114823E-2</v>
      </c>
      <c r="P24" s="124">
        <v>3.6785718671228804E-2</v>
      </c>
      <c r="Q24" s="124">
        <v>3.6379339251405497E-2</v>
      </c>
      <c r="R24" s="124">
        <v>3.8039700034690337E-2</v>
      </c>
      <c r="S24" s="124">
        <v>3.439072789950956E-2</v>
      </c>
      <c r="T24" s="124">
        <v>3.3812688182441167E-2</v>
      </c>
      <c r="U24" s="124">
        <v>3.2647618016147732E-2</v>
      </c>
      <c r="V24" s="124">
        <v>3.5799884640459079E-2</v>
      </c>
      <c r="W24" s="124">
        <v>3.5902479681399674E-2</v>
      </c>
      <c r="X24" s="124">
        <v>3.2303672909761785E-2</v>
      </c>
      <c r="Y24" s="124">
        <v>2.9168985639467345E-2</v>
      </c>
      <c r="Z24" s="124">
        <v>3.0467889566038842E-2</v>
      </c>
      <c r="AA24" s="124">
        <v>2.7456040967607991E-2</v>
      </c>
      <c r="AB24" s="124">
        <v>2.6765401841795641E-2</v>
      </c>
      <c r="AC24" s="124">
        <v>3.1268701728602459E-2</v>
      </c>
    </row>
    <row r="25" spans="1:29" ht="15.75" customHeight="1">
      <c r="A25" s="126" t="s">
        <v>395</v>
      </c>
      <c r="B25" s="124">
        <v>7.9639331052174522E-3</v>
      </c>
      <c r="C25" s="124">
        <v>7.4644754611907409E-3</v>
      </c>
      <c r="D25" s="124">
        <v>8.9890201456729515E-3</v>
      </c>
      <c r="E25" s="124">
        <v>8.361163951437647E-3</v>
      </c>
      <c r="F25" s="124">
        <v>8.6095275656917214E-3</v>
      </c>
      <c r="G25" s="124">
        <v>8.5820517101624933E-3</v>
      </c>
      <c r="H25" s="124">
        <v>9.9293070979303861E-3</v>
      </c>
      <c r="I25" s="124">
        <v>1.0097369160698852E-2</v>
      </c>
      <c r="J25" s="124">
        <v>9.9444939515808892E-3</v>
      </c>
      <c r="K25" s="124">
        <v>1.0040999136931975E-2</v>
      </c>
      <c r="L25" s="124">
        <v>9.7903866791369497E-3</v>
      </c>
      <c r="M25" s="124">
        <v>1.0134329259612058E-2</v>
      </c>
      <c r="N25" s="124">
        <v>9.5178019169466204E-3</v>
      </c>
      <c r="O25" s="124">
        <v>1.0498200649102464E-2</v>
      </c>
      <c r="P25" s="124">
        <v>9.6203061109991998E-3</v>
      </c>
      <c r="Q25" s="124">
        <v>9.638576853418037E-3</v>
      </c>
      <c r="R25" s="124">
        <v>9.7602619824728211E-3</v>
      </c>
      <c r="S25" s="124">
        <v>9.0922213880579895E-3</v>
      </c>
      <c r="T25" s="124">
        <v>8.9310011804812923E-3</v>
      </c>
      <c r="U25" s="124">
        <v>8.5965733370439914E-3</v>
      </c>
      <c r="V25" s="124">
        <v>9.4997840817216354E-3</v>
      </c>
      <c r="W25" s="124">
        <v>9.4408159278998923E-3</v>
      </c>
      <c r="X25" s="124">
        <v>8.7630839683111514E-3</v>
      </c>
      <c r="Y25" s="124">
        <v>8.2256255594788368E-3</v>
      </c>
      <c r="Z25" s="124">
        <v>8.4429459104174223E-3</v>
      </c>
      <c r="AA25" s="124">
        <v>7.9376418829001927E-3</v>
      </c>
      <c r="AB25" s="124">
        <v>7.7399240034504739E-3</v>
      </c>
      <c r="AC25" s="124">
        <v>8.8400532858240628E-3</v>
      </c>
    </row>
    <row r="26" spans="1:29" ht="15.75" customHeight="1">
      <c r="A26" s="126" t="s">
        <v>396</v>
      </c>
      <c r="B26" s="124">
        <v>8.0757312256036513E-3</v>
      </c>
      <c r="C26" s="124">
        <v>7.6621314000784148E-3</v>
      </c>
      <c r="D26" s="124">
        <v>6.6840036360226373E-3</v>
      </c>
      <c r="E26" s="124">
        <v>7.7081219691101316E-3</v>
      </c>
      <c r="F26" s="124">
        <v>7.0799014647887426E-3</v>
      </c>
      <c r="G26" s="124">
        <v>8.9314962953424386E-3</v>
      </c>
      <c r="H26" s="124">
        <v>9.4035930004863055E-3</v>
      </c>
      <c r="I26" s="124">
        <v>1.0162477174496714E-2</v>
      </c>
      <c r="J26" s="124">
        <v>1.1906046638528621E-2</v>
      </c>
      <c r="K26" s="124">
        <v>1.1630696015453419E-2</v>
      </c>
      <c r="L26" s="124">
        <v>1.2672036929434997E-2</v>
      </c>
      <c r="M26" s="124">
        <v>1.4345998510669219E-2</v>
      </c>
      <c r="N26" s="124">
        <v>1.3516216921097206E-2</v>
      </c>
      <c r="O26" s="124">
        <v>1.193311944498766E-2</v>
      </c>
      <c r="P26" s="124">
        <v>1.3472680320344592E-2</v>
      </c>
      <c r="Q26" s="124">
        <v>1.1743375656947047E-2</v>
      </c>
      <c r="R26" s="124">
        <v>1.2050874275883926E-2</v>
      </c>
      <c r="S26" s="124">
        <v>1.1214499317991277E-2</v>
      </c>
      <c r="T26" s="124">
        <v>1.0076836562455935E-2</v>
      </c>
      <c r="U26" s="124">
        <v>1.0869309252789965E-2</v>
      </c>
      <c r="V26" s="124">
        <v>1.1487486777955596E-2</v>
      </c>
      <c r="W26" s="124">
        <v>1.1214676424970003E-2</v>
      </c>
      <c r="X26" s="124">
        <v>1.1099884097388249E-2</v>
      </c>
      <c r="Y26" s="124">
        <v>1.0423593068046549E-2</v>
      </c>
      <c r="Z26" s="124">
        <v>1.2708447006791855E-2</v>
      </c>
      <c r="AA26" s="124">
        <v>1.5724424222435127E-2</v>
      </c>
      <c r="AB26" s="124">
        <v>1.3583789897840029E-2</v>
      </c>
      <c r="AC26" s="124">
        <v>1.4198754502561323E-2</v>
      </c>
    </row>
    <row r="27" spans="1:29" ht="15.75" customHeight="1">
      <c r="A27" s="126" t="s">
        <v>397</v>
      </c>
      <c r="B27" s="124">
        <v>7.257051227973179E-3</v>
      </c>
      <c r="C27" s="124">
        <v>8.0990118401637751E-3</v>
      </c>
      <c r="D27" s="124">
        <v>7.3143746134656231E-3</v>
      </c>
      <c r="E27" s="124">
        <v>1.212965891150925E-2</v>
      </c>
      <c r="F27" s="124">
        <v>1.3069915980930378E-2</v>
      </c>
      <c r="G27" s="124">
        <v>1.3680235007676424E-2</v>
      </c>
      <c r="H27" s="124">
        <v>1.3414315062275974E-2</v>
      </c>
      <c r="I27" s="124">
        <v>1.3501525006336694E-2</v>
      </c>
      <c r="J27" s="124">
        <v>1.3363671307668955E-2</v>
      </c>
      <c r="K27" s="124">
        <v>1.3341547950421565E-2</v>
      </c>
      <c r="L27" s="124">
        <v>1.34250424721552E-2</v>
      </c>
      <c r="M27" s="124">
        <v>3.5676632951537907E-4</v>
      </c>
      <c r="N27" s="124">
        <v>2.7457727766623059E-5</v>
      </c>
      <c r="O27" s="124">
        <v>6.0785131275090704E-6</v>
      </c>
      <c r="P27" s="124">
        <v>1.7430197887787005E-5</v>
      </c>
      <c r="Q27" s="124">
        <v>-5.7109321229069418E-5</v>
      </c>
      <c r="R27" s="124">
        <v>-3.8501913858503007E-5</v>
      </c>
      <c r="S27" s="124">
        <v>1.4740066513756615E-6</v>
      </c>
      <c r="T27" s="124">
        <v>3.0163790492933747E-6</v>
      </c>
      <c r="U27" s="124">
        <v>0</v>
      </c>
      <c r="V27" s="124">
        <v>0</v>
      </c>
      <c r="W27" s="124">
        <v>0</v>
      </c>
      <c r="X27" s="124">
        <v>0</v>
      </c>
      <c r="Y27" s="124">
        <v>0</v>
      </c>
      <c r="Z27" s="124">
        <v>0</v>
      </c>
      <c r="AA27" s="124">
        <v>0</v>
      </c>
      <c r="AB27" s="124">
        <v>0</v>
      </c>
      <c r="AC27" s="124">
        <v>0</v>
      </c>
    </row>
    <row r="28" spans="1:29" ht="15.75" customHeight="1">
      <c r="A28" s="126" t="s">
        <v>398</v>
      </c>
      <c r="B28" s="124">
        <v>0</v>
      </c>
      <c r="C28" s="124">
        <v>0</v>
      </c>
      <c r="D28" s="124">
        <v>0</v>
      </c>
      <c r="E28" s="124">
        <v>0</v>
      </c>
      <c r="F28" s="124">
        <v>0</v>
      </c>
      <c r="G28" s="124">
        <v>4.8636463928754918E-3</v>
      </c>
      <c r="H28" s="124">
        <v>4.3631860550110285E-3</v>
      </c>
      <c r="I28" s="124">
        <v>3.9170509381963306E-3</v>
      </c>
      <c r="J28" s="124">
        <v>3.5380688283282633E-3</v>
      </c>
      <c r="K28" s="124">
        <v>3.246626526382326E-3</v>
      </c>
      <c r="L28" s="124">
        <v>2.9199327711683888E-3</v>
      </c>
      <c r="M28" s="124">
        <v>1.9113767446312633E-3</v>
      </c>
      <c r="N28" s="124">
        <v>1.4744886912303372E-3</v>
      </c>
      <c r="O28" s="124">
        <v>1.9967482307784593E-3</v>
      </c>
      <c r="P28" s="124">
        <v>2.0481568012800369E-3</v>
      </c>
      <c r="Q28" s="124">
        <v>5.9766979476411216E-4</v>
      </c>
      <c r="R28" s="124">
        <v>1.4057297718993462E-4</v>
      </c>
      <c r="S28" s="124">
        <v>5.2467622733659387E-6</v>
      </c>
      <c r="T28" s="124">
        <v>5.4669584620995176E-4</v>
      </c>
      <c r="U28" s="124">
        <v>9.5873994310522912E-4</v>
      </c>
      <c r="V28" s="124">
        <v>8.8487294044614065E-4</v>
      </c>
      <c r="W28" s="124">
        <v>5.6586386736651065E-4</v>
      </c>
      <c r="X28" s="124">
        <v>3.7797258795745341E-4</v>
      </c>
      <c r="Y28" s="124">
        <v>2.6125783273274017E-4</v>
      </c>
      <c r="Z28" s="124">
        <v>2.1393052931179644E-4</v>
      </c>
      <c r="AA28" s="124">
        <v>1.6605250930497333E-4</v>
      </c>
      <c r="AB28" s="124">
        <v>1.1048662245794594E-4</v>
      </c>
      <c r="AC28" s="124">
        <v>2.9080742280386833E-4</v>
      </c>
    </row>
    <row r="29" spans="1:29" ht="15.75" customHeight="1">
      <c r="A29" s="126" t="s">
        <v>399</v>
      </c>
      <c r="B29" s="124">
        <v>9.720136926245986E-4</v>
      </c>
      <c r="C29" s="124">
        <v>9.7222808477269939E-4</v>
      </c>
      <c r="D29" s="124">
        <v>8.5388412313754439E-4</v>
      </c>
      <c r="E29" s="124">
        <v>1.6552183999046434E-3</v>
      </c>
      <c r="F29" s="124">
        <v>2.7486608139364621E-3</v>
      </c>
      <c r="G29" s="124">
        <v>3.0750269669879825E-3</v>
      </c>
      <c r="H29" s="124">
        <v>3.2750693568976419E-3</v>
      </c>
      <c r="I29" s="124">
        <v>3.2688066719754271E-3</v>
      </c>
      <c r="J29" s="124">
        <v>3.4637490373126715E-3</v>
      </c>
      <c r="K29" s="124">
        <v>2.2954739248155927E-3</v>
      </c>
      <c r="L29" s="124">
        <v>3.230106711903847E-3</v>
      </c>
      <c r="M29" s="124">
        <v>2.285857137103154E-3</v>
      </c>
      <c r="N29" s="124">
        <v>3.9781569666254533E-3</v>
      </c>
      <c r="O29" s="124">
        <v>3.8937696207893145E-3</v>
      </c>
      <c r="P29" s="124">
        <v>5.0059158724745896E-3</v>
      </c>
      <c r="Q29" s="124">
        <v>2.8249620036019493E-3</v>
      </c>
      <c r="R29" s="124">
        <v>3.2065848699158344E-3</v>
      </c>
      <c r="S29" s="124">
        <v>3.592071766198674E-3</v>
      </c>
      <c r="T29" s="124">
        <v>3.7192469345455298E-3</v>
      </c>
      <c r="U29" s="124">
        <v>6.131829506018511E-3</v>
      </c>
      <c r="V29" s="124">
        <v>7.3219448440997367E-5</v>
      </c>
      <c r="W29" s="124">
        <v>1.3277794778448313E-3</v>
      </c>
      <c r="X29" s="124">
        <v>3.0709843653697532E-3</v>
      </c>
      <c r="Y29" s="124">
        <v>3.2914246047254171E-3</v>
      </c>
      <c r="Z29" s="124">
        <v>3.0707569965028503E-3</v>
      </c>
      <c r="AA29" s="124">
        <v>2.7567070783803592E-3</v>
      </c>
      <c r="AB29" s="124">
        <v>3.7122415896480208E-3</v>
      </c>
      <c r="AC29" s="124">
        <v>2.8732701317396229E-3</v>
      </c>
    </row>
    <row r="30" spans="1:29" ht="15.75" customHeight="1">
      <c r="A30" s="120" t="s">
        <v>400</v>
      </c>
      <c r="B30" s="121">
        <v>-7.8575515823517373E-4</v>
      </c>
      <c r="C30" s="121">
        <v>-7.6819297830799788E-4</v>
      </c>
      <c r="D30" s="121">
        <v>-6.8960720706474758E-4</v>
      </c>
      <c r="E30" s="121">
        <v>-8.2987751909637832E-4</v>
      </c>
      <c r="F30" s="121">
        <v>-1.7521218097618659E-4</v>
      </c>
      <c r="G30" s="121">
        <v>-1.6746650613520914E-4</v>
      </c>
      <c r="H30" s="121">
        <v>-1.1059690686962816E-4</v>
      </c>
      <c r="I30" s="121">
        <v>0</v>
      </c>
      <c r="J30" s="121">
        <v>-3.2149285083467837E-6</v>
      </c>
      <c r="K30" s="121">
        <v>0</v>
      </c>
      <c r="L30" s="121">
        <v>-3.711407893918904E-6</v>
      </c>
      <c r="M30" s="121">
        <v>-3.4710557843221284E-7</v>
      </c>
      <c r="N30" s="121">
        <v>-1.6442831649980408E-5</v>
      </c>
      <c r="O30" s="121">
        <v>-2.5373244598703921E-5</v>
      </c>
      <c r="P30" s="121">
        <v>-6.2577353309000797E-5</v>
      </c>
      <c r="Q30" s="121">
        <v>-2.9529312989804967E-5</v>
      </c>
      <c r="R30" s="121">
        <v>-9.6709926916395328E-6</v>
      </c>
      <c r="S30" s="121">
        <v>-1.0877132933925322E-6</v>
      </c>
      <c r="T30" s="121">
        <v>-1.7687659685849587E-6</v>
      </c>
      <c r="U30" s="121">
        <v>-2.6033594106236307E-5</v>
      </c>
      <c r="V30" s="121">
        <v>-2.0938915813697811E-4</v>
      </c>
      <c r="W30" s="121">
        <v>-2.0070306755810604E-6</v>
      </c>
      <c r="X30" s="121">
        <v>-6.4689656068537306E-6</v>
      </c>
      <c r="Y30" s="121">
        <v>-1.8071313165413896E-5</v>
      </c>
      <c r="Z30" s="121">
        <v>-1.7804690415745738E-5</v>
      </c>
      <c r="AA30" s="121">
        <v>-5.6187343128777489E-6</v>
      </c>
      <c r="AB30" s="121">
        <v>-7.1308988063645578E-6</v>
      </c>
      <c r="AC30" s="121">
        <v>0</v>
      </c>
    </row>
    <row r="31" spans="1:29" ht="15.75" customHeight="1">
      <c r="A31" s="120" t="s">
        <v>401</v>
      </c>
      <c r="B31" s="121">
        <v>4.6488035994946685E-2</v>
      </c>
      <c r="C31" s="121">
        <v>4.6175244321739591E-2</v>
      </c>
      <c r="D31" s="121">
        <v>4.5108770755508926E-2</v>
      </c>
      <c r="E31" s="121">
        <v>4.6464433468791651E-2</v>
      </c>
      <c r="F31" s="121">
        <v>4.7495063764903152E-2</v>
      </c>
      <c r="G31" s="121">
        <v>4.7708414463861405E-2</v>
      </c>
      <c r="H31" s="121">
        <v>4.6992130941353648E-2</v>
      </c>
      <c r="I31" s="121">
        <v>4.7894431964355604E-2</v>
      </c>
      <c r="J31" s="121">
        <v>4.9956173742337087E-2</v>
      </c>
      <c r="K31" s="121">
        <v>5.1264892243073498E-2</v>
      </c>
      <c r="L31" s="121">
        <v>5.1616991409922618E-2</v>
      </c>
      <c r="M31" s="121">
        <v>5.2529136652493563E-2</v>
      </c>
      <c r="N31" s="121">
        <v>5.4607349264499616E-2</v>
      </c>
      <c r="O31" s="121">
        <v>5.4548822551644879E-2</v>
      </c>
      <c r="P31" s="121">
        <v>5.6186123881189272E-2</v>
      </c>
      <c r="Q31" s="121">
        <v>5.7274856632284731E-2</v>
      </c>
      <c r="R31" s="121">
        <v>5.7608577274713961E-2</v>
      </c>
      <c r="S31" s="121">
        <v>5.8402124542588973E-2</v>
      </c>
      <c r="T31" s="121">
        <v>5.8419687676947045E-2</v>
      </c>
      <c r="U31" s="121">
        <v>5.7125312095509161E-2</v>
      </c>
      <c r="V31" s="121">
        <v>5.6910792406502979E-2</v>
      </c>
      <c r="W31" s="121">
        <v>5.5850074550086212E-2</v>
      </c>
      <c r="X31" s="121">
        <v>5.5937740800515286E-2</v>
      </c>
      <c r="Y31" s="121">
        <v>5.319237189365357E-2</v>
      </c>
      <c r="Z31" s="121">
        <v>5.1291259598769089E-2</v>
      </c>
      <c r="AA31" s="121">
        <v>5.3147528465929128E-2</v>
      </c>
      <c r="AB31" s="121">
        <v>5.4157712726628227E-2</v>
      </c>
      <c r="AC31" s="121">
        <v>5.4591001118416464E-2</v>
      </c>
    </row>
    <row r="32" spans="1:29" ht="15.75" customHeight="1">
      <c r="A32" s="126" t="s">
        <v>402</v>
      </c>
      <c r="B32" s="124">
        <v>0</v>
      </c>
      <c r="C32" s="124">
        <v>0</v>
      </c>
      <c r="D32" s="124">
        <v>0</v>
      </c>
      <c r="E32" s="124">
        <v>0</v>
      </c>
      <c r="F32" s="124">
        <v>4.6078848263384556E-2</v>
      </c>
      <c r="G32" s="124">
        <v>4.6162222378213061E-2</v>
      </c>
      <c r="H32" s="124">
        <v>4.5306117242667164E-2</v>
      </c>
      <c r="I32" s="124">
        <v>4.6281039916785213E-2</v>
      </c>
      <c r="J32" s="124">
        <v>4.8413873730155953E-2</v>
      </c>
      <c r="K32" s="124">
        <v>4.9685643048002541E-2</v>
      </c>
      <c r="L32" s="124">
        <v>5.0056366441357039E-2</v>
      </c>
      <c r="M32" s="124">
        <v>5.0930162549438676E-2</v>
      </c>
      <c r="N32" s="124">
        <v>5.3237992592351305E-2</v>
      </c>
      <c r="O32" s="124">
        <v>5.3309858527061708E-2</v>
      </c>
      <c r="P32" s="124">
        <v>5.4962273957537944E-2</v>
      </c>
      <c r="Q32" s="124">
        <v>5.6077888625587081E-2</v>
      </c>
      <c r="R32" s="124">
        <v>5.6453948854553397E-2</v>
      </c>
      <c r="S32" s="124">
        <v>5.7247908278526938E-2</v>
      </c>
      <c r="T32" s="124">
        <v>5.7238648321278923E-2</v>
      </c>
      <c r="U32" s="124">
        <v>5.5861966409643422E-2</v>
      </c>
      <c r="V32" s="124">
        <v>5.5498593291243077E-2</v>
      </c>
      <c r="W32" s="124">
        <v>5.4433746575240895E-2</v>
      </c>
      <c r="X32" s="124">
        <v>5.4804776452933759E-2</v>
      </c>
      <c r="Y32" s="124">
        <v>5.2062266633651065E-2</v>
      </c>
      <c r="Z32" s="124">
        <v>5.0141892732397858E-2</v>
      </c>
      <c r="AA32" s="124">
        <v>5.2248414455608426E-2</v>
      </c>
      <c r="AB32" s="124">
        <v>5.3373286681098815E-2</v>
      </c>
      <c r="AC32" s="124">
        <v>5.3752149578158728E-2</v>
      </c>
    </row>
    <row r="33" spans="1:29" ht="15.75" customHeight="1">
      <c r="A33" s="126" t="s">
        <v>403</v>
      </c>
      <c r="B33" s="124">
        <v>0</v>
      </c>
      <c r="C33" s="124">
        <v>0</v>
      </c>
      <c r="D33" s="124">
        <v>0</v>
      </c>
      <c r="E33" s="124">
        <v>0</v>
      </c>
      <c r="F33" s="124">
        <v>1.4162154952332214E-3</v>
      </c>
      <c r="G33" s="124">
        <v>1.5461923393514895E-3</v>
      </c>
      <c r="H33" s="124">
        <v>1.6860136986864885E-3</v>
      </c>
      <c r="I33" s="124">
        <v>1.6133926777168492E-3</v>
      </c>
      <c r="J33" s="124">
        <v>1.542300076481775E-3</v>
      </c>
      <c r="K33" s="124">
        <v>1.5792512357027035E-3</v>
      </c>
      <c r="L33" s="124">
        <v>1.5606246195765245E-3</v>
      </c>
      <c r="M33" s="124">
        <v>1.5989742115151513E-3</v>
      </c>
      <c r="N33" s="124">
        <v>1.3693566722473313E-3</v>
      </c>
      <c r="O33" s="124">
        <v>1.2389640245774321E-3</v>
      </c>
      <c r="P33" s="124">
        <v>1.223849923653598E-3</v>
      </c>
      <c r="Q33" s="124">
        <v>1.1969680101848294E-3</v>
      </c>
      <c r="R33" s="124">
        <v>1.1546284201591635E-3</v>
      </c>
      <c r="S33" s="124">
        <v>1.1542162662371682E-3</v>
      </c>
      <c r="T33" s="124">
        <v>1.1810393556681128E-3</v>
      </c>
      <c r="U33" s="124">
        <v>1.2633456858657309E-3</v>
      </c>
      <c r="V33" s="124">
        <v>1.4121991152598917E-3</v>
      </c>
      <c r="W33" s="124">
        <v>1.416327974845313E-3</v>
      </c>
      <c r="X33" s="124">
        <v>1.1329643475815241E-3</v>
      </c>
      <c r="Y33" s="124">
        <v>1.1301052600025017E-3</v>
      </c>
      <c r="Z33" s="124">
        <v>1.1493668663712132E-3</v>
      </c>
      <c r="AA33" s="124">
        <v>8.9911401032070014E-4</v>
      </c>
      <c r="AB33" s="124">
        <v>7.8442604552940041E-4</v>
      </c>
      <c r="AC33" s="124">
        <v>8.3885154025772836E-4</v>
      </c>
    </row>
    <row r="34" spans="1:29" ht="15.75" customHeight="1">
      <c r="A34" s="120" t="s">
        <v>404</v>
      </c>
      <c r="B34" s="121">
        <v>1.4482609200083358E-2</v>
      </c>
      <c r="C34" s="121">
        <v>2.6188419559310061E-2</v>
      </c>
      <c r="D34" s="121">
        <v>2.4595788948318591E-2</v>
      </c>
      <c r="E34" s="121">
        <v>2.0135375339666306E-2</v>
      </c>
      <c r="F34" s="121">
        <v>2.2011426093057205E-2</v>
      </c>
      <c r="G34" s="121">
        <v>1.9732371050413089E-2</v>
      </c>
      <c r="H34" s="121">
        <v>1.9047130838162334E-2</v>
      </c>
      <c r="I34" s="121">
        <v>1.9624679278570895E-2</v>
      </c>
      <c r="J34" s="121">
        <v>2.134233030096206E-2</v>
      </c>
      <c r="K34" s="121">
        <v>2.494372059367304E-2</v>
      </c>
      <c r="L34" s="121">
        <v>2.2218799637411576E-2</v>
      </c>
      <c r="M34" s="121">
        <v>2.7630257100433778E-2</v>
      </c>
      <c r="N34" s="121">
        <v>3.0012239417385622E-2</v>
      </c>
      <c r="O34" s="121">
        <v>4.5152471519607933E-2</v>
      </c>
      <c r="P34" s="121">
        <v>2.5993403905865926E-2</v>
      </c>
      <c r="Q34" s="121">
        <v>3.0973890953185895E-2</v>
      </c>
      <c r="R34" s="121">
        <v>2.8451854458375631E-2</v>
      </c>
      <c r="S34" s="121">
        <v>2.5056317381725472E-2</v>
      </c>
      <c r="T34" s="121">
        <v>2.2299842814310016E-2</v>
      </c>
      <c r="U34" s="121">
        <v>2.2053289960767317E-2</v>
      </c>
      <c r="V34" s="121">
        <v>2.6525589254465649E-2</v>
      </c>
      <c r="W34" s="121">
        <v>2.7523581012235745E-2</v>
      </c>
      <c r="X34" s="121">
        <v>3.7384843210878115E-2</v>
      </c>
      <c r="Y34" s="121">
        <v>2.154366796419635E-2</v>
      </c>
      <c r="Z34" s="121">
        <v>3.0498157031639328E-2</v>
      </c>
      <c r="AA34" s="121">
        <v>3.8458744433537612E-2</v>
      </c>
      <c r="AB34" s="121">
        <v>2.9382348197484382E-2</v>
      </c>
      <c r="AC34" s="121">
        <v>2.9652986020401666E-2</v>
      </c>
    </row>
    <row r="35" spans="1:29" ht="15.75" customHeight="1">
      <c r="A35" s="129" t="s">
        <v>405</v>
      </c>
      <c r="B35" s="124">
        <v>1.5935399981430313E-3</v>
      </c>
      <c r="C35" s="124">
        <v>9.3357699358418353E-3</v>
      </c>
      <c r="D35" s="124">
        <v>8.4132641454918358E-3</v>
      </c>
      <c r="E35" s="124">
        <v>4.3591638816754654E-3</v>
      </c>
      <c r="F35" s="124">
        <v>3.32988260643123E-3</v>
      </c>
      <c r="G35" s="124">
        <v>1.2224775184829203E-3</v>
      </c>
      <c r="H35" s="124">
        <v>2.342709283804924E-4</v>
      </c>
      <c r="I35" s="124">
        <v>6.4071247650095988E-4</v>
      </c>
      <c r="J35" s="124">
        <v>3.8092478953295457E-4</v>
      </c>
      <c r="K35" s="124">
        <v>4.0865603571856333E-4</v>
      </c>
      <c r="L35" s="124">
        <v>7.5875105276785248E-4</v>
      </c>
      <c r="M35" s="124">
        <v>1.9551092955742088E-3</v>
      </c>
      <c r="N35" s="124">
        <v>9.2750688663024983E-4</v>
      </c>
      <c r="O35" s="124">
        <v>2.9810645619568612E-4</v>
      </c>
      <c r="P35" s="124">
        <v>8.9989299167248275E-4</v>
      </c>
      <c r="Q35" s="124">
        <v>4.6464153705684866E-4</v>
      </c>
      <c r="R35" s="124">
        <v>4.139942296946547E-3</v>
      </c>
      <c r="S35" s="124">
        <v>1.3706841640463631E-3</v>
      </c>
      <c r="T35" s="124">
        <v>9.8256187368212433E-4</v>
      </c>
      <c r="U35" s="124">
        <v>3.494442967147625E-3</v>
      </c>
      <c r="V35" s="124">
        <v>4.8753442302205364E-3</v>
      </c>
      <c r="W35" s="124">
        <v>3.1308846647467338E-3</v>
      </c>
      <c r="X35" s="124">
        <v>1.2624126827168427E-2</v>
      </c>
      <c r="Y35" s="124">
        <v>1.0747814826515929E-3</v>
      </c>
      <c r="Z35" s="124">
        <v>1.0947276776645664E-3</v>
      </c>
      <c r="AA35" s="124">
        <v>4.6476792480222243E-3</v>
      </c>
      <c r="AB35" s="124">
        <v>8.0593715765405068E-4</v>
      </c>
      <c r="AC35" s="124">
        <v>1.4023340685931163E-3</v>
      </c>
    </row>
    <row r="36" spans="1:29" s="128" customFormat="1" ht="15.75" customHeight="1">
      <c r="A36" s="129" t="s">
        <v>406</v>
      </c>
      <c r="B36" s="124">
        <v>8.6372859286713898E-4</v>
      </c>
      <c r="C36" s="124">
        <v>2.3649923406870448E-3</v>
      </c>
      <c r="D36" s="124">
        <v>1.6471273532985113E-3</v>
      </c>
      <c r="E36" s="124">
        <v>1.3111403990164426E-3</v>
      </c>
      <c r="F36" s="124">
        <v>2.4563244035367294E-3</v>
      </c>
      <c r="G36" s="124">
        <v>2.1251112019450018E-3</v>
      </c>
      <c r="H36" s="124">
        <v>2.2284393009005432E-3</v>
      </c>
      <c r="I36" s="124">
        <v>2.2009753668135795E-3</v>
      </c>
      <c r="J36" s="124">
        <v>2.2362467952882379E-3</v>
      </c>
      <c r="K36" s="124">
        <v>4.0425803061281051E-3</v>
      </c>
      <c r="L36" s="124">
        <v>2.5648777068274851E-3</v>
      </c>
      <c r="M36" s="124">
        <v>4.2973036874194943E-3</v>
      </c>
      <c r="N36" s="124">
        <v>8.005616930545122E-3</v>
      </c>
      <c r="O36" s="124">
        <v>5.7682276443414074E-3</v>
      </c>
      <c r="P36" s="124">
        <v>4.5613861795101704E-3</v>
      </c>
      <c r="Q36" s="124">
        <v>5.8193935929302942E-3</v>
      </c>
      <c r="R36" s="124">
        <v>3.2150919751446909E-3</v>
      </c>
      <c r="S36" s="124">
        <v>3.277340438373843E-3</v>
      </c>
      <c r="T36" s="124">
        <v>2.0135211665226085E-3</v>
      </c>
      <c r="U36" s="124">
        <v>4.5423907603982049E-4</v>
      </c>
      <c r="V36" s="124">
        <v>8.3776731155666773E-4</v>
      </c>
      <c r="W36" s="124">
        <v>1.0959903833913209E-3</v>
      </c>
      <c r="X36" s="124">
        <v>2.8256377501041504E-3</v>
      </c>
      <c r="Y36" s="124">
        <v>8.6427892822869932E-4</v>
      </c>
      <c r="Z36" s="124">
        <v>4.8250971659681416E-3</v>
      </c>
      <c r="AA36" s="124">
        <v>8.631586824283154E-3</v>
      </c>
      <c r="AB36" s="124">
        <v>4.5651431200451975E-3</v>
      </c>
      <c r="AC36" s="124">
        <v>6.1628955937937935E-3</v>
      </c>
    </row>
    <row r="37" spans="1:29" ht="15.75" customHeight="1">
      <c r="A37" s="125" t="s">
        <v>407</v>
      </c>
      <c r="B37" s="124">
        <v>0</v>
      </c>
      <c r="C37" s="124">
        <v>0</v>
      </c>
      <c r="D37" s="124">
        <v>0</v>
      </c>
      <c r="E37" s="124">
        <v>1.1422278389565746E-4</v>
      </c>
      <c r="F37" s="124">
        <v>1.257638751467935E-4</v>
      </c>
      <c r="G37" s="124">
        <v>1.9671726935817049E-4</v>
      </c>
      <c r="H37" s="124">
        <v>2.540570185078589E-4</v>
      </c>
      <c r="I37" s="124">
        <v>4.3759707312023184E-4</v>
      </c>
      <c r="J37" s="124">
        <v>2.9532757379107305E-4</v>
      </c>
      <c r="K37" s="124">
        <v>9.4022530926046971E-4</v>
      </c>
      <c r="L37" s="124">
        <v>5.9096711230098846E-4</v>
      </c>
      <c r="M37" s="124">
        <v>5.7822528031432039E-4</v>
      </c>
      <c r="N37" s="124">
        <v>6.8316062248426892E-4</v>
      </c>
      <c r="O37" s="124">
        <v>8.4355813530940171E-4</v>
      </c>
      <c r="P37" s="124">
        <v>5.9889351991612803E-4</v>
      </c>
      <c r="Q37" s="124">
        <v>6.1693175225462874E-4</v>
      </c>
      <c r="R37" s="124">
        <v>6.4810619767498182E-4</v>
      </c>
      <c r="S37" s="124">
        <v>4.1754172508522077E-4</v>
      </c>
      <c r="T37" s="124">
        <v>4.9996420865298225E-4</v>
      </c>
      <c r="U37" s="124">
        <v>2.1183554817297401E-4</v>
      </c>
      <c r="V37" s="124">
        <v>2.0878962791184301E-4</v>
      </c>
      <c r="W37" s="124">
        <v>3.1465227808201521E-4</v>
      </c>
      <c r="X37" s="124">
        <v>5.0194002584260853E-4</v>
      </c>
      <c r="Y37" s="124">
        <v>2.7858646089463766E-4</v>
      </c>
      <c r="Z37" s="124">
        <v>3.6028044523574843E-4</v>
      </c>
      <c r="AA37" s="124">
        <v>5.9280064906292698E-4</v>
      </c>
      <c r="AB37" s="124">
        <v>5.9901642612293919E-4</v>
      </c>
      <c r="AC37" s="124">
        <v>6.3748194733981116E-4</v>
      </c>
    </row>
    <row r="38" spans="1:29" ht="15.75" customHeight="1">
      <c r="A38" s="125" t="s">
        <v>408</v>
      </c>
      <c r="B38" s="124">
        <v>0</v>
      </c>
      <c r="C38" s="124">
        <v>0</v>
      </c>
      <c r="D38" s="124">
        <v>0</v>
      </c>
      <c r="E38" s="124">
        <v>4.1242648415832858E-6</v>
      </c>
      <c r="F38" s="124">
        <v>1.986701141595325E-6</v>
      </c>
      <c r="G38" s="124">
        <v>0</v>
      </c>
      <c r="H38" s="124">
        <v>3.4363255262122928E-6</v>
      </c>
      <c r="I38" s="124">
        <v>1.4044030537666588E-5</v>
      </c>
      <c r="J38" s="124">
        <v>1.6931533976746765E-5</v>
      </c>
      <c r="K38" s="124">
        <v>5.289201961018932E-6</v>
      </c>
      <c r="L38" s="124">
        <v>4.3352736017395706E-5</v>
      </c>
      <c r="M38" s="124">
        <v>5.4901369452202028E-5</v>
      </c>
      <c r="N38" s="124">
        <v>4.1187396769440833E-5</v>
      </c>
      <c r="O38" s="124">
        <v>7.6993713669777029E-5</v>
      </c>
      <c r="P38" s="124">
        <v>5.4934224219465714E-5</v>
      </c>
      <c r="Q38" s="124">
        <v>2.5479820009577467E-5</v>
      </c>
      <c r="R38" s="124">
        <v>4.2765238691277052E-5</v>
      </c>
      <c r="S38" s="124">
        <v>1.6869738937114565E-5</v>
      </c>
      <c r="T38" s="124">
        <v>4.1463503873861491E-5</v>
      </c>
      <c r="U38" s="124">
        <v>5.8988815780752879E-6</v>
      </c>
      <c r="V38" s="124">
        <v>1.5321996240191221E-5</v>
      </c>
      <c r="W38" s="124">
        <v>1.1203342420033325E-5</v>
      </c>
      <c r="X38" s="124">
        <v>2.3916441216575478E-5</v>
      </c>
      <c r="Y38" s="124">
        <v>1.7128740715196464E-5</v>
      </c>
      <c r="Z38" s="124">
        <v>1.4984992552350162E-5</v>
      </c>
      <c r="AA38" s="124">
        <v>2.1300430094504868E-5</v>
      </c>
      <c r="AB38" s="124">
        <v>2.7141516664562882E-5</v>
      </c>
      <c r="AC38" s="124">
        <v>2.4694820337606927E-5</v>
      </c>
    </row>
    <row r="39" spans="1:29" ht="15.75" customHeight="1">
      <c r="A39" s="125" t="s">
        <v>409</v>
      </c>
      <c r="B39" s="124">
        <v>0</v>
      </c>
      <c r="C39" s="124">
        <v>0</v>
      </c>
      <c r="D39" s="124">
        <v>0</v>
      </c>
      <c r="E39" s="124">
        <v>2.5407472211964204E-4</v>
      </c>
      <c r="F39" s="124">
        <v>4.5594486587160164E-4</v>
      </c>
      <c r="G39" s="124">
        <v>2.9851032899440386E-4</v>
      </c>
      <c r="H39" s="124">
        <v>3.5308224040836651E-4</v>
      </c>
      <c r="I39" s="124">
        <v>1.3531565255378859E-4</v>
      </c>
      <c r="J39" s="124">
        <v>6.5829339474778525E-4</v>
      </c>
      <c r="K39" s="124">
        <v>1.2623913164223983E-3</v>
      </c>
      <c r="L39" s="124">
        <v>3.3953561139498842E-4</v>
      </c>
      <c r="M39" s="124">
        <v>1.9346938700009284E-3</v>
      </c>
      <c r="N39" s="124">
        <v>3.2853338074777826E-3</v>
      </c>
      <c r="O39" s="124">
        <v>2.6056804745336437E-3</v>
      </c>
      <c r="P39" s="124">
        <v>1.5777178420578303E-3</v>
      </c>
      <c r="Q39" s="124">
        <v>2.6871049331684601E-3</v>
      </c>
      <c r="R39" s="124">
        <v>1.3126708517537003E-3</v>
      </c>
      <c r="S39" s="124">
        <v>1.5711635173889693E-3</v>
      </c>
      <c r="T39" s="124">
        <v>8.2924852076749259E-4</v>
      </c>
      <c r="U39" s="124">
        <v>3.4685456595529239E-5</v>
      </c>
      <c r="V39" s="124">
        <v>5.1817793434078788E-4</v>
      </c>
      <c r="W39" s="124">
        <v>2.1416608833582263E-4</v>
      </c>
      <c r="X39" s="124">
        <v>1.2907899364479668E-3</v>
      </c>
      <c r="Y39" s="124">
        <v>0</v>
      </c>
      <c r="Z39" s="124">
        <v>1.5052319957005811E-3</v>
      </c>
      <c r="AA39" s="124">
        <v>1.8729375133392917E-3</v>
      </c>
      <c r="AB39" s="124">
        <v>9.5263938776459476E-4</v>
      </c>
      <c r="AC39" s="124">
        <v>2.5117732865886843E-3</v>
      </c>
    </row>
    <row r="40" spans="1:29" ht="15.75" customHeight="1">
      <c r="A40" s="125" t="s">
        <v>410</v>
      </c>
      <c r="B40" s="124">
        <v>0</v>
      </c>
      <c r="C40" s="124">
        <v>0</v>
      </c>
      <c r="D40" s="124">
        <v>0</v>
      </c>
      <c r="E40" s="124">
        <v>8.8562270215608092E-5</v>
      </c>
      <c r="F40" s="124">
        <v>0</v>
      </c>
      <c r="G40" s="124">
        <v>0</v>
      </c>
      <c r="H40" s="124">
        <v>6.146456122351798E-4</v>
      </c>
      <c r="I40" s="124">
        <v>2.7279231335621869E-4</v>
      </c>
      <c r="J40" s="124">
        <v>2.3171231292060798E-4</v>
      </c>
      <c r="K40" s="124">
        <v>4.5661859183013145E-4</v>
      </c>
      <c r="L40" s="124">
        <v>3.664193650168209E-4</v>
      </c>
      <c r="M40" s="124">
        <v>6.8318048801857577E-4</v>
      </c>
      <c r="N40" s="124">
        <v>7.6965195082153879E-4</v>
      </c>
      <c r="O40" s="124">
        <v>1.0139465937942056E-3</v>
      </c>
      <c r="P40" s="124">
        <v>8.4079540478709607E-4</v>
      </c>
      <c r="Q40" s="124">
        <v>1.5992489761866733E-3</v>
      </c>
      <c r="R40" s="124">
        <v>7.5024115569394159E-4</v>
      </c>
      <c r="S40" s="124">
        <v>7.5383204476546571E-4</v>
      </c>
      <c r="T40" s="124">
        <v>5.6689553167668519E-4</v>
      </c>
      <c r="U40" s="124">
        <v>1.1782094747831586E-4</v>
      </c>
      <c r="V40" s="124">
        <v>1.1104765281074883E-5</v>
      </c>
      <c r="W40" s="124">
        <v>4.0037981801375696E-4</v>
      </c>
      <c r="X40" s="124">
        <v>6.4511604156871727E-4</v>
      </c>
      <c r="Y40" s="124">
        <v>1.3246867347820407E-4</v>
      </c>
      <c r="Z40" s="124">
        <v>3.12484402428811E-4</v>
      </c>
      <c r="AA40" s="124">
        <v>3.5630391482195677E-4</v>
      </c>
      <c r="AB40" s="124">
        <v>1.6611278343369584E-4</v>
      </c>
      <c r="AC40" s="124">
        <v>2.3777768570160126E-4</v>
      </c>
    </row>
    <row r="41" spans="1:29" ht="15.75" customHeight="1">
      <c r="A41" s="125" t="s">
        <v>411</v>
      </c>
      <c r="B41" s="124">
        <v>0</v>
      </c>
      <c r="C41" s="124">
        <v>0</v>
      </c>
      <c r="D41" s="124">
        <v>0</v>
      </c>
      <c r="E41" s="124">
        <v>5.5246119164191473E-5</v>
      </c>
      <c r="F41" s="124">
        <v>0</v>
      </c>
      <c r="G41" s="124">
        <v>8.384060867495962E-5</v>
      </c>
      <c r="H41" s="124">
        <v>6.0323533488328558E-5</v>
      </c>
      <c r="I41" s="124">
        <v>3.6970610653062669E-5</v>
      </c>
      <c r="J41" s="124">
        <v>3.8956564485094204E-5</v>
      </c>
      <c r="K41" s="124">
        <v>1.2435257872393316E-4</v>
      </c>
      <c r="L41" s="124">
        <v>9.8215192991423956E-5</v>
      </c>
      <c r="M41" s="124">
        <v>1.2962324057829848E-4</v>
      </c>
      <c r="N41" s="124">
        <v>1.1778749460301035E-4</v>
      </c>
      <c r="O41" s="124">
        <v>1.4873957050400284E-5</v>
      </c>
      <c r="P41" s="124">
        <v>3.9827055280604621E-4</v>
      </c>
      <c r="Q41" s="124">
        <v>1.7133813708110612E-4</v>
      </c>
      <c r="R41" s="124">
        <v>7.5227310899007131E-5</v>
      </c>
      <c r="S41" s="124">
        <v>0</v>
      </c>
      <c r="T41" s="124">
        <v>0</v>
      </c>
      <c r="U41" s="124">
        <v>0</v>
      </c>
      <c r="V41" s="124">
        <v>0</v>
      </c>
      <c r="W41" s="124">
        <v>0</v>
      </c>
      <c r="X41" s="124">
        <v>0</v>
      </c>
      <c r="Y41" s="124">
        <v>0</v>
      </c>
      <c r="Z41" s="124">
        <v>0</v>
      </c>
      <c r="AA41" s="124">
        <v>2.5818122185172444E-5</v>
      </c>
      <c r="AB41" s="124">
        <v>0</v>
      </c>
      <c r="AC41" s="124">
        <v>0</v>
      </c>
    </row>
    <row r="42" spans="1:29" ht="15.75" customHeight="1">
      <c r="A42" s="125" t="s">
        <v>412</v>
      </c>
      <c r="B42" s="124">
        <v>0</v>
      </c>
      <c r="C42" s="124">
        <v>0</v>
      </c>
      <c r="D42" s="124">
        <v>0</v>
      </c>
      <c r="E42" s="124">
        <v>2.3710803410372696E-4</v>
      </c>
      <c r="F42" s="124">
        <v>3.2775954810275904E-4</v>
      </c>
      <c r="G42" s="124">
        <v>5.9499065211689531E-4</v>
      </c>
      <c r="H42" s="124">
        <v>1.1025467318161035E-4</v>
      </c>
      <c r="I42" s="124">
        <v>6.7371182792122397E-5</v>
      </c>
      <c r="J42" s="124">
        <v>6.7501106547744033E-5</v>
      </c>
      <c r="K42" s="124">
        <v>5.717568691438132E-5</v>
      </c>
      <c r="L42" s="124">
        <v>4.5718781512898475E-5</v>
      </c>
      <c r="M42" s="124">
        <v>8.459071534940386E-5</v>
      </c>
      <c r="N42" s="124">
        <v>1.2946684945055801E-3</v>
      </c>
      <c r="O42" s="124">
        <v>1.6925073682649781E-4</v>
      </c>
      <c r="P42" s="124">
        <v>1.143786286747197E-4</v>
      </c>
      <c r="Q42" s="124">
        <v>1.5056962941351911E-4</v>
      </c>
      <c r="R42" s="124">
        <v>5.0238600128538473E-5</v>
      </c>
      <c r="S42" s="124">
        <v>3.9889090698549938E-5</v>
      </c>
      <c r="T42" s="124">
        <v>2.6742110753320492E-11</v>
      </c>
      <c r="U42" s="124">
        <v>0</v>
      </c>
      <c r="V42" s="124">
        <v>4.2020708880063888E-10</v>
      </c>
      <c r="W42" s="124">
        <v>0</v>
      </c>
      <c r="X42" s="124">
        <v>6.4436757600484941E-5</v>
      </c>
      <c r="Y42" s="124">
        <v>1.4265898586585511E-4</v>
      </c>
      <c r="Z42" s="124">
        <v>1.776058314202196E-4</v>
      </c>
      <c r="AA42" s="124">
        <v>4.6791885487199488E-5</v>
      </c>
      <c r="AB42" s="124">
        <v>1.7164943868660941E-5</v>
      </c>
      <c r="AC42" s="124">
        <v>2.2878004908871507E-5</v>
      </c>
    </row>
    <row r="43" spans="1:29" s="122" customFormat="1" ht="15.75" customHeight="1">
      <c r="A43" s="125" t="s">
        <v>413</v>
      </c>
      <c r="B43" s="124">
        <v>0</v>
      </c>
      <c r="C43" s="124">
        <v>0</v>
      </c>
      <c r="D43" s="124">
        <v>0</v>
      </c>
      <c r="E43" s="124">
        <v>1.6016951588163448E-5</v>
      </c>
      <c r="F43" s="124">
        <v>4.4266847848269169E-6</v>
      </c>
      <c r="G43" s="124">
        <v>2.9656943365829185E-5</v>
      </c>
      <c r="H43" s="124">
        <v>4.8999390852726516E-5</v>
      </c>
      <c r="I43" s="124">
        <v>1.5931597423352725E-5</v>
      </c>
      <c r="J43" s="124">
        <v>5.5396651610409086E-5</v>
      </c>
      <c r="K43" s="124">
        <v>7.5742196826054188E-5</v>
      </c>
      <c r="L43" s="124">
        <v>5.7937755694048226E-6</v>
      </c>
      <c r="M43" s="124">
        <v>2.7643058457777423E-5</v>
      </c>
      <c r="N43" s="124">
        <v>6.2110378819322306E-5</v>
      </c>
      <c r="O43" s="124">
        <v>2.9542325669235058E-5</v>
      </c>
      <c r="P43" s="124">
        <v>3.2208144957343818E-5</v>
      </c>
      <c r="Q43" s="124">
        <v>3.1019303124421149E-5</v>
      </c>
      <c r="R43" s="124">
        <v>1.4802965899386371E-5</v>
      </c>
      <c r="S43" s="124">
        <v>1.4760124529455969E-5</v>
      </c>
      <c r="T43" s="124">
        <v>2.0296547068058802E-5</v>
      </c>
      <c r="U43" s="124">
        <v>1.3293110360669831E-5</v>
      </c>
      <c r="V43" s="124">
        <v>1.1211772469160221E-5</v>
      </c>
      <c r="W43" s="124">
        <v>1.157662222851491E-5</v>
      </c>
      <c r="X43" s="124">
        <v>1.1563008040637217E-5</v>
      </c>
      <c r="Y43" s="124">
        <v>0</v>
      </c>
      <c r="Z43" s="124">
        <v>0</v>
      </c>
      <c r="AA43" s="124">
        <v>0</v>
      </c>
      <c r="AB43" s="124">
        <v>0</v>
      </c>
      <c r="AC43" s="124">
        <v>0</v>
      </c>
    </row>
    <row r="44" spans="1:29" ht="15.75" customHeight="1">
      <c r="A44" s="125" t="s">
        <v>414</v>
      </c>
      <c r="B44" s="124">
        <v>0</v>
      </c>
      <c r="C44" s="124">
        <v>0</v>
      </c>
      <c r="D44" s="124">
        <v>0</v>
      </c>
      <c r="E44" s="124">
        <v>3.7246116996654657E-4</v>
      </c>
      <c r="F44" s="124">
        <v>9.1298841096996227E-4</v>
      </c>
      <c r="G44" s="124">
        <v>6.9642380734224432E-4</v>
      </c>
      <c r="H44" s="124">
        <v>5.4851733177001477E-4</v>
      </c>
      <c r="I44" s="124">
        <v>9.6255260052597799E-4</v>
      </c>
      <c r="J44" s="124">
        <v>7.7608979222070862E-4</v>
      </c>
      <c r="K44" s="124">
        <v>9.7145559562468019E-4</v>
      </c>
      <c r="L44" s="124">
        <v>9.5141530518819107E-4</v>
      </c>
      <c r="M44" s="124">
        <v>6.9805743528240807E-4</v>
      </c>
      <c r="N44" s="124">
        <v>1.6003178977016263E-3</v>
      </c>
      <c r="O44" s="124">
        <v>8.2920018821772698E-4</v>
      </c>
      <c r="P44" s="124">
        <v>7.5891547737171636E-4</v>
      </c>
      <c r="Q44" s="124">
        <v>3.9184014377107536E-4</v>
      </c>
      <c r="R44" s="124">
        <v>1.9047456789973762E-4</v>
      </c>
      <c r="S44" s="124">
        <v>3.4827632859568285E-4</v>
      </c>
      <c r="T44" s="124">
        <v>0</v>
      </c>
      <c r="U44" s="124">
        <v>0</v>
      </c>
      <c r="V44" s="124">
        <v>0</v>
      </c>
      <c r="W44" s="124">
        <v>1.0680741038928101E-4</v>
      </c>
      <c r="X44" s="124">
        <v>1.7777324030487376E-4</v>
      </c>
      <c r="Y44" s="124">
        <v>2.1668353038475338E-4</v>
      </c>
      <c r="Z44" s="124">
        <v>2.3461547539728876E-3</v>
      </c>
      <c r="AA44" s="124">
        <v>5.5928284529487829E-3</v>
      </c>
      <c r="AB44" s="124">
        <v>2.6215927980729617E-3</v>
      </c>
      <c r="AC44" s="124">
        <v>2.5304866467633874E-3</v>
      </c>
    </row>
    <row r="45" spans="1:29" ht="15.75" customHeight="1">
      <c r="A45" s="125" t="s">
        <v>415</v>
      </c>
      <c r="B45" s="124">
        <v>0</v>
      </c>
      <c r="C45" s="124">
        <v>0</v>
      </c>
      <c r="D45" s="124">
        <v>0</v>
      </c>
      <c r="E45" s="124">
        <v>1.6932408312132354E-4</v>
      </c>
      <c r="F45" s="124">
        <v>6.2745431751919101E-4</v>
      </c>
      <c r="G45" s="124">
        <v>2.2497159209249935E-4</v>
      </c>
      <c r="H45" s="124">
        <v>2.3512317493024583E-4</v>
      </c>
      <c r="I45" s="124">
        <v>2.584003058511576E-4</v>
      </c>
      <c r="J45" s="124">
        <v>9.6037864988068818E-5</v>
      </c>
      <c r="K45" s="124">
        <v>1.4932982856503773E-4</v>
      </c>
      <c r="L45" s="124">
        <v>1.2345982683537306E-4</v>
      </c>
      <c r="M45" s="124">
        <v>1.0638822996557989E-4</v>
      </c>
      <c r="N45" s="124">
        <v>1.5139888736255314E-4</v>
      </c>
      <c r="O45" s="124">
        <v>1.8518151927051965E-4</v>
      </c>
      <c r="P45" s="124">
        <v>1.8527238471982332E-4</v>
      </c>
      <c r="Q45" s="124">
        <v>1.458608979208336E-4</v>
      </c>
      <c r="R45" s="124">
        <v>1.3056508650412002E-4</v>
      </c>
      <c r="S45" s="124">
        <v>1.1500786837338444E-4</v>
      </c>
      <c r="T45" s="124">
        <v>5.5652827741417816E-5</v>
      </c>
      <c r="U45" s="124">
        <v>7.0705131854256241E-5</v>
      </c>
      <c r="V45" s="124">
        <v>7.3160795106521934E-5</v>
      </c>
      <c r="W45" s="124">
        <v>3.7204823921896737E-5</v>
      </c>
      <c r="X45" s="124">
        <v>1.1010229908228667E-4</v>
      </c>
      <c r="Y45" s="124">
        <v>7.6752536890052693E-5</v>
      </c>
      <c r="Z45" s="124">
        <v>1.0835474465754431E-4</v>
      </c>
      <c r="AA45" s="124">
        <v>1.228058563433192E-4</v>
      </c>
      <c r="AB45" s="124">
        <v>1.8147526411778294E-4</v>
      </c>
      <c r="AC45" s="124">
        <v>1.9780320215383225E-4</v>
      </c>
    </row>
    <row r="46" spans="1:29" ht="15.75" customHeight="1">
      <c r="A46" s="129" t="s">
        <v>416</v>
      </c>
      <c r="B46" s="124">
        <v>1.3652582273593694E-3</v>
      </c>
      <c r="C46" s="124">
        <v>1.2628451336009045E-3</v>
      </c>
      <c r="D46" s="124">
        <v>1.4489148573908223E-3</v>
      </c>
      <c r="E46" s="124">
        <v>1.3308107192292232E-3</v>
      </c>
      <c r="F46" s="124">
        <v>1.2131015883455169E-3</v>
      </c>
      <c r="G46" s="124">
        <v>1.4502168833923368E-3</v>
      </c>
      <c r="H46" s="124">
        <v>1.2149223575977329E-3</v>
      </c>
      <c r="I46" s="124">
        <v>1.4383830783119287E-3</v>
      </c>
      <c r="J46" s="124">
        <v>1.930030290399503E-3</v>
      </c>
      <c r="K46" s="124">
        <v>2.0369315389538543E-3</v>
      </c>
      <c r="L46" s="124">
        <v>2.0764577130488269E-3</v>
      </c>
      <c r="M46" s="124">
        <v>2.1311552110006371E-3</v>
      </c>
      <c r="N46" s="124">
        <v>2.2677681827161008E-3</v>
      </c>
      <c r="O46" s="124">
        <v>2.2064468207034392E-3</v>
      </c>
      <c r="P46" s="124">
        <v>2.1231314102677723E-3</v>
      </c>
      <c r="Q46" s="124">
        <v>1.9715619387239724E-3</v>
      </c>
      <c r="R46" s="124">
        <v>1.9077593456549382E-3</v>
      </c>
      <c r="S46" s="124">
        <v>1.8891115986950863E-3</v>
      </c>
      <c r="T46" s="124">
        <v>1.9894926256777495E-3</v>
      </c>
      <c r="U46" s="124">
        <v>1.9760332154861644E-3</v>
      </c>
      <c r="V46" s="124">
        <v>2.0814391266799344E-3</v>
      </c>
      <c r="W46" s="124">
        <v>1.9604901061813364E-3</v>
      </c>
      <c r="X46" s="124">
        <v>1.8847808060934968E-3</v>
      </c>
      <c r="Y46" s="124">
        <v>2.2862524196042861E-3</v>
      </c>
      <c r="Z46" s="124">
        <v>1.9912308051032454E-3</v>
      </c>
      <c r="AA46" s="124">
        <v>1.7147084895934247E-3</v>
      </c>
      <c r="AB46" s="124">
        <v>1.5899442780504937E-3</v>
      </c>
      <c r="AC46" s="124">
        <v>1.5837335111237633E-3</v>
      </c>
    </row>
    <row r="47" spans="1:29" ht="15.75" customHeight="1">
      <c r="A47" s="129" t="s">
        <v>417</v>
      </c>
      <c r="B47" s="124">
        <v>0</v>
      </c>
      <c r="C47" s="124">
        <v>0</v>
      </c>
      <c r="D47" s="124">
        <v>0</v>
      </c>
      <c r="E47" s="124">
        <v>0</v>
      </c>
      <c r="F47" s="124">
        <v>3.4532842546270513E-3</v>
      </c>
      <c r="G47" s="124">
        <v>4.8104644597647198E-3</v>
      </c>
      <c r="H47" s="124">
        <v>6.3376495837949324E-3</v>
      </c>
      <c r="I47" s="124">
        <v>6.2092323428393015E-3</v>
      </c>
      <c r="J47" s="124">
        <v>6.9631262225671375E-3</v>
      </c>
      <c r="K47" s="124">
        <v>7.7176791920060958E-3</v>
      </c>
      <c r="L47" s="124">
        <v>6.2590199936716166E-3</v>
      </c>
      <c r="M47" s="124">
        <v>8.049282909632088E-3</v>
      </c>
      <c r="N47" s="124">
        <v>5.8241230446545358E-3</v>
      </c>
      <c r="O47" s="124">
        <v>6.2845161784381544E-3</v>
      </c>
      <c r="P47" s="124">
        <v>6.7602782768502959E-3</v>
      </c>
      <c r="Q47" s="124">
        <v>7.0888784734734608E-3</v>
      </c>
      <c r="R47" s="124">
        <v>6.8367292150075852E-3</v>
      </c>
      <c r="S47" s="124">
        <v>6.8131340425491354E-3</v>
      </c>
      <c r="T47" s="124">
        <v>4.8085211331349966E-3</v>
      </c>
      <c r="U47" s="124">
        <v>3.7124555304943103E-3</v>
      </c>
      <c r="V47" s="124">
        <v>5.4725948592281633E-3</v>
      </c>
      <c r="W47" s="124">
        <v>8.5541233561477609E-3</v>
      </c>
      <c r="X47" s="124">
        <v>8.7535742354704158E-3</v>
      </c>
      <c r="Y47" s="124">
        <v>7.4233317407840982E-3</v>
      </c>
      <c r="Z47" s="124">
        <v>1.0437430494342878E-2</v>
      </c>
      <c r="AA47" s="124">
        <v>1.3143507255293218E-2</v>
      </c>
      <c r="AB47" s="124">
        <v>1.0314426828035593E-2</v>
      </c>
      <c r="AC47" s="124">
        <v>1.0111929686169566E-2</v>
      </c>
    </row>
    <row r="48" spans="1:29" ht="15.75" customHeight="1">
      <c r="A48" s="129" t="s">
        <v>418</v>
      </c>
      <c r="B48" s="124">
        <v>0</v>
      </c>
      <c r="C48" s="124">
        <v>0</v>
      </c>
      <c r="D48" s="124">
        <v>4.7672380867887186E-3</v>
      </c>
      <c r="E48" s="124">
        <v>5.3146836297592055E-3</v>
      </c>
      <c r="F48" s="124">
        <v>5.5668779070513364E-3</v>
      </c>
      <c r="G48" s="124">
        <v>5.2440499139949385E-3</v>
      </c>
      <c r="H48" s="124">
        <v>4.901859880050468E-3</v>
      </c>
      <c r="I48" s="124">
        <v>2.5205032593149865E-3</v>
      </c>
      <c r="J48" s="124">
        <v>2.4703972028656193E-3</v>
      </c>
      <c r="K48" s="124">
        <v>2.597735713329434E-3</v>
      </c>
      <c r="L48" s="124">
        <v>2.9512651514060177E-3</v>
      </c>
      <c r="M48" s="124">
        <v>3.0155002887397092E-3</v>
      </c>
      <c r="N48" s="124">
        <v>3.0228018880812022E-3</v>
      </c>
      <c r="O48" s="124">
        <v>2.9394747698377201E-3</v>
      </c>
      <c r="P48" s="124">
        <v>3.1004735551207422E-3</v>
      </c>
      <c r="Q48" s="124">
        <v>3.8754878420454064E-3</v>
      </c>
      <c r="R48" s="124">
        <v>2.4762695126458664E-3</v>
      </c>
      <c r="S48" s="124">
        <v>2.1543450272776899E-3</v>
      </c>
      <c r="T48" s="124">
        <v>2.4283368896684671E-3</v>
      </c>
      <c r="U48" s="124">
        <v>2.2932284016147111E-3</v>
      </c>
      <c r="V48" s="124">
        <v>2.0435511513276937E-3</v>
      </c>
      <c r="W48" s="124">
        <v>2.112191506555226E-3</v>
      </c>
      <c r="X48" s="124">
        <v>2.150063095520364E-3</v>
      </c>
      <c r="Y48" s="124">
        <v>1.7412857724485706E-3</v>
      </c>
      <c r="Z48" s="124">
        <v>1.8492541520543266E-3</v>
      </c>
      <c r="AA48" s="124">
        <v>2.0927329246174142E-3</v>
      </c>
      <c r="AB48" s="124">
        <v>1.927652964517141E-3</v>
      </c>
      <c r="AC48" s="124">
        <v>2.0009840811132423E-3</v>
      </c>
    </row>
    <row r="49" spans="1:29" s="130" customFormat="1" ht="15.75" customHeight="1">
      <c r="A49" s="129" t="s">
        <v>419</v>
      </c>
      <c r="B49" s="124">
        <v>2.9151330829926439E-3</v>
      </c>
      <c r="C49" s="124">
        <v>2.4540441924734949E-3</v>
      </c>
      <c r="D49" s="124">
        <v>2.1526974843582001E-3</v>
      </c>
      <c r="E49" s="124">
        <v>2.3098171289592353E-3</v>
      </c>
      <c r="F49" s="124">
        <v>2.3624346921881207E-3</v>
      </c>
      <c r="G49" s="124">
        <v>2.4473874051850423E-3</v>
      </c>
      <c r="H49" s="124">
        <v>2.3199919087490868E-3</v>
      </c>
      <c r="I49" s="124">
        <v>2.4553960582096336E-3</v>
      </c>
      <c r="J49" s="124">
        <v>2.7066913263797125E-3</v>
      </c>
      <c r="K49" s="124">
        <v>2.8747307579994673E-3</v>
      </c>
      <c r="L49" s="124">
        <v>2.606024208022088E-3</v>
      </c>
      <c r="M49" s="124">
        <v>2.8221601266418066E-3</v>
      </c>
      <c r="N49" s="124">
        <v>2.8769312999784107E-3</v>
      </c>
      <c r="O49" s="124">
        <v>2.843436742348303E-3</v>
      </c>
      <c r="P49" s="124">
        <v>2.9968772085956562E-3</v>
      </c>
      <c r="Q49" s="124">
        <v>3.0686915987778516E-3</v>
      </c>
      <c r="R49" s="124">
        <v>3.1064089988366442E-3</v>
      </c>
      <c r="S49" s="124">
        <v>3.1667793645203182E-3</v>
      </c>
      <c r="T49" s="124">
        <v>3.182917860396167E-3</v>
      </c>
      <c r="U49" s="124">
        <v>3.1134755486868226E-3</v>
      </c>
      <c r="V49" s="124">
        <v>3.0509095715776386E-3</v>
      </c>
      <c r="W49" s="124">
        <v>3.1477928078968783E-3</v>
      </c>
      <c r="X49" s="124">
        <v>2.9914984910262813E-3</v>
      </c>
      <c r="Y49" s="124">
        <v>2.7939531456489973E-3</v>
      </c>
      <c r="Z49" s="124">
        <v>2.6654740513007012E-3</v>
      </c>
      <c r="AA49" s="124">
        <v>2.7075929027607433E-3</v>
      </c>
      <c r="AB49" s="124">
        <v>2.814269096408327E-3</v>
      </c>
      <c r="AC49" s="124">
        <v>2.8164320097465636E-3</v>
      </c>
    </row>
    <row r="50" spans="1:29" s="130" customFormat="1" ht="15.75" customHeight="1">
      <c r="A50" s="129" t="s">
        <v>420</v>
      </c>
      <c r="B50" s="124">
        <v>0</v>
      </c>
      <c r="C50" s="124">
        <v>0</v>
      </c>
      <c r="D50" s="124">
        <v>0</v>
      </c>
      <c r="E50" s="124">
        <v>0</v>
      </c>
      <c r="F50" s="124">
        <v>0</v>
      </c>
      <c r="G50" s="124">
        <v>0</v>
      </c>
      <c r="H50" s="124">
        <v>0</v>
      </c>
      <c r="I50" s="124">
        <v>0</v>
      </c>
      <c r="J50" s="124">
        <v>0</v>
      </c>
      <c r="K50" s="124">
        <v>0</v>
      </c>
      <c r="L50" s="124">
        <v>0</v>
      </c>
      <c r="M50" s="124">
        <v>0</v>
      </c>
      <c r="N50" s="124">
        <v>0</v>
      </c>
      <c r="O50" s="124">
        <v>0</v>
      </c>
      <c r="P50" s="124">
        <v>0</v>
      </c>
      <c r="Q50" s="124">
        <v>5.0442003548346588E-4</v>
      </c>
      <c r="R50" s="124">
        <v>6.8073582826414609E-4</v>
      </c>
      <c r="S50" s="124">
        <v>6.9866007644533469E-4</v>
      </c>
      <c r="T50" s="124">
        <v>7.9942014920623386E-4</v>
      </c>
      <c r="U50" s="124">
        <v>8.9708384809482962E-4</v>
      </c>
      <c r="V50" s="124">
        <v>7.9083001752635685E-4</v>
      </c>
      <c r="W50" s="124">
        <v>7.1813205003248457E-4</v>
      </c>
      <c r="X50" s="124">
        <v>7.1685324463619828E-4</v>
      </c>
      <c r="Y50" s="124">
        <v>4.7061074321399819E-6</v>
      </c>
      <c r="Z50" s="124">
        <v>3.5144863576844098E-6</v>
      </c>
      <c r="AA50" s="124">
        <v>8.6633488354249792E-6</v>
      </c>
      <c r="AB50" s="124">
        <v>9.3497576019953116E-6</v>
      </c>
      <c r="AC50" s="124">
        <v>8.0094950547994434E-6</v>
      </c>
    </row>
    <row r="51" spans="1:29" s="130" customFormat="1" ht="15.75" customHeight="1">
      <c r="A51" s="129" t="s">
        <v>421</v>
      </c>
      <c r="B51" s="124">
        <v>7.7449492987211764E-3</v>
      </c>
      <c r="C51" s="124">
        <v>1.077076795670678E-2</v>
      </c>
      <c r="D51" s="124">
        <v>6.1665470209905007E-3</v>
      </c>
      <c r="E51" s="124">
        <v>5.5097595810267323E-3</v>
      </c>
      <c r="F51" s="124">
        <v>3.6295206408772191E-3</v>
      </c>
      <c r="G51" s="124">
        <v>2.4326636676481285E-3</v>
      </c>
      <c r="H51" s="124">
        <v>1.8099968786890774E-3</v>
      </c>
      <c r="I51" s="124">
        <v>4.1594766965805047E-3</v>
      </c>
      <c r="J51" s="124">
        <v>4.6549136739288954E-3</v>
      </c>
      <c r="K51" s="124">
        <v>5.2654070495375188E-3</v>
      </c>
      <c r="L51" s="124">
        <v>5.0024038116676939E-3</v>
      </c>
      <c r="M51" s="124">
        <v>5.3597455814258345E-3</v>
      </c>
      <c r="N51" s="124">
        <v>7.0874911847799973E-3</v>
      </c>
      <c r="O51" s="124">
        <v>2.4812262907743229E-2</v>
      </c>
      <c r="P51" s="124">
        <v>5.5513642838488121E-3</v>
      </c>
      <c r="Q51" s="124">
        <v>8.1808159346945988E-3</v>
      </c>
      <c r="R51" s="124">
        <v>6.0889172858752108E-3</v>
      </c>
      <c r="S51" s="124">
        <v>5.6862626698177014E-3</v>
      </c>
      <c r="T51" s="124">
        <v>6.0950711160216667E-3</v>
      </c>
      <c r="U51" s="124">
        <v>6.1123313732030296E-3</v>
      </c>
      <c r="V51" s="124">
        <v>7.3731529863486555E-3</v>
      </c>
      <c r="W51" s="124">
        <v>6.8039761372840043E-3</v>
      </c>
      <c r="X51" s="124">
        <v>5.4383087608587824E-3</v>
      </c>
      <c r="Y51" s="124">
        <v>5.3550783673979602E-3</v>
      </c>
      <c r="Z51" s="124">
        <v>7.6314281988477837E-3</v>
      </c>
      <c r="AA51" s="124">
        <v>5.5122734401320045E-3</v>
      </c>
      <c r="AB51" s="124">
        <v>7.3556249951715856E-3</v>
      </c>
      <c r="AC51" s="124">
        <v>5.5666675748068184E-3</v>
      </c>
    </row>
    <row r="52" spans="1:29" s="130" customFormat="1" ht="15.75" customHeight="1">
      <c r="A52" s="123" t="s">
        <v>422</v>
      </c>
      <c r="B52" s="124">
        <v>0</v>
      </c>
      <c r="C52" s="124">
        <v>0</v>
      </c>
      <c r="D52" s="124">
        <v>0</v>
      </c>
      <c r="E52" s="124">
        <v>0</v>
      </c>
      <c r="F52" s="124">
        <v>0</v>
      </c>
      <c r="G52" s="124">
        <v>0</v>
      </c>
      <c r="H52" s="124">
        <v>0</v>
      </c>
      <c r="I52" s="124">
        <v>0</v>
      </c>
      <c r="J52" s="124">
        <v>0</v>
      </c>
      <c r="K52" s="124">
        <v>0</v>
      </c>
      <c r="L52" s="124">
        <v>0</v>
      </c>
      <c r="M52" s="124">
        <v>0</v>
      </c>
      <c r="N52" s="124">
        <v>0</v>
      </c>
      <c r="O52" s="124">
        <v>1.9251302588635371E-2</v>
      </c>
      <c r="P52" s="124">
        <v>0</v>
      </c>
      <c r="Q52" s="124">
        <v>2.57541393567724E-3</v>
      </c>
      <c r="R52" s="124">
        <v>0</v>
      </c>
      <c r="S52" s="124">
        <v>0</v>
      </c>
      <c r="T52" s="124">
        <v>1.4260012906379581E-4</v>
      </c>
      <c r="U52" s="124">
        <v>1.2297850542018781E-4</v>
      </c>
      <c r="V52" s="124">
        <v>1.7118764147392633E-4</v>
      </c>
      <c r="W52" s="124">
        <v>7.3621390429725838E-4</v>
      </c>
      <c r="X52" s="124">
        <v>1.5584154908814064E-4</v>
      </c>
      <c r="Y52" s="124">
        <v>1.8159901380788374E-4</v>
      </c>
      <c r="Z52" s="124">
        <v>0</v>
      </c>
      <c r="AA52" s="124">
        <v>0</v>
      </c>
      <c r="AB52" s="124">
        <v>0</v>
      </c>
      <c r="AC52" s="124">
        <v>0</v>
      </c>
    </row>
    <row r="53" spans="1:29" s="133" customFormat="1" ht="18.75" thickBot="1">
      <c r="A53" s="131" t="s">
        <v>423</v>
      </c>
      <c r="B53" s="132">
        <v>2.5463602949672402E-2</v>
      </c>
      <c r="C53" s="132">
        <v>2.7092613286704627E-2</v>
      </c>
      <c r="D53" s="132">
        <v>2.8076798312991234E-2</v>
      </c>
      <c r="E53" s="132">
        <v>3.0604538827891652E-2</v>
      </c>
      <c r="F53" s="132">
        <v>3.2727130850633883E-2</v>
      </c>
      <c r="G53" s="132">
        <v>3.4939970523844253E-2</v>
      </c>
      <c r="H53" s="132">
        <v>3.3137796534682774E-2</v>
      </c>
      <c r="I53" s="132">
        <v>3.2711615732672034E-2</v>
      </c>
      <c r="J53" s="132">
        <v>3.6959415497802343E-2</v>
      </c>
      <c r="K53" s="132">
        <v>3.7487138769459159E-2</v>
      </c>
      <c r="L53" s="132">
        <v>3.7465743088318765E-2</v>
      </c>
      <c r="M53" s="132">
        <v>4.0954043793920376E-2</v>
      </c>
      <c r="N53" s="132">
        <v>3.5906888564330428E-2</v>
      </c>
      <c r="O53" s="132">
        <v>3.4322063904560503E-2</v>
      </c>
      <c r="P53" s="132">
        <v>3.7253527932964263E-2</v>
      </c>
      <c r="Q53" s="132">
        <v>3.5597711588464136E-2</v>
      </c>
      <c r="R53" s="132">
        <v>3.4116271424477929E-2</v>
      </c>
      <c r="S53" s="132">
        <v>3.4342120478855806E-2</v>
      </c>
      <c r="T53" s="132">
        <v>3.4138013442583034E-2</v>
      </c>
      <c r="U53" s="132">
        <v>3.6181758457065005E-2</v>
      </c>
      <c r="V53" s="132">
        <v>3.467254868914061E-2</v>
      </c>
      <c r="W53" s="132">
        <v>3.6653126794749753E-2</v>
      </c>
      <c r="X53" s="132">
        <v>3.9020930066444422E-2</v>
      </c>
      <c r="Y53" s="132">
        <v>3.4666493886280673E-2</v>
      </c>
      <c r="Z53" s="132">
        <v>3.9230055955608002E-2</v>
      </c>
      <c r="AA53" s="132">
        <v>4.5358981987580038E-2</v>
      </c>
      <c r="AB53" s="132">
        <v>4.1304473175230658E-2</v>
      </c>
      <c r="AC53" s="132">
        <v>4.4075503132215317E-2</v>
      </c>
    </row>
    <row r="54" spans="1:29" s="134" customFormat="1" ht="15.75" customHeight="1">
      <c r="A54" s="120" t="s">
        <v>424</v>
      </c>
      <c r="B54" s="121">
        <v>2.2897629236430787E-2</v>
      </c>
      <c r="C54" s="121">
        <v>2.4704311770836762E-2</v>
      </c>
      <c r="D54" s="121">
        <v>2.5193282500086196E-2</v>
      </c>
      <c r="E54" s="121">
        <v>2.5979362404810115E-2</v>
      </c>
      <c r="F54" s="121">
        <v>2.7676448658626632E-2</v>
      </c>
      <c r="G54" s="121">
        <v>2.99548028121292E-2</v>
      </c>
      <c r="H54" s="121">
        <v>2.6917778598189925E-2</v>
      </c>
      <c r="I54" s="121">
        <v>2.612116374689126E-2</v>
      </c>
      <c r="J54" s="121">
        <v>2.9372569714142767E-2</v>
      </c>
      <c r="K54" s="121">
        <v>2.9312799033284018E-2</v>
      </c>
      <c r="L54" s="121">
        <v>3.0231995183909337E-2</v>
      </c>
      <c r="M54" s="121">
        <v>3.2761112225341844E-2</v>
      </c>
      <c r="N54" s="121">
        <v>2.9270751225012999E-2</v>
      </c>
      <c r="O54" s="121">
        <v>2.7212691921611923E-2</v>
      </c>
      <c r="P54" s="121">
        <v>2.9744160225327658E-2</v>
      </c>
      <c r="Q54" s="121">
        <v>2.7812770785554407E-2</v>
      </c>
      <c r="R54" s="121">
        <v>2.6993939627257026E-2</v>
      </c>
      <c r="S54" s="121">
        <v>2.7136915059715265E-2</v>
      </c>
      <c r="T54" s="121">
        <v>2.7635269867247396E-2</v>
      </c>
      <c r="U54" s="121">
        <v>3.02822168888657E-2</v>
      </c>
      <c r="V54" s="121">
        <v>2.7807083277910843E-2</v>
      </c>
      <c r="W54" s="121">
        <v>2.8073368015962774E-2</v>
      </c>
      <c r="X54" s="121">
        <v>2.8906333587563091E-2</v>
      </c>
      <c r="Y54" s="121">
        <v>2.6889315900396102E-2</v>
      </c>
      <c r="Z54" s="121">
        <v>3.0499428904247516E-2</v>
      </c>
      <c r="AA54" s="121">
        <v>3.3922386309776058E-2</v>
      </c>
      <c r="AB54" s="121">
        <v>3.2283381130511581E-2</v>
      </c>
      <c r="AC54" s="121">
        <v>3.507791296110916E-2</v>
      </c>
    </row>
    <row r="55" spans="1:29" s="134" customFormat="1" ht="15.75" customHeight="1">
      <c r="A55" s="120" t="s">
        <v>425</v>
      </c>
      <c r="B55" s="121">
        <v>9.5446747636170743E-4</v>
      </c>
      <c r="C55" s="121">
        <v>8.7402217386923348E-4</v>
      </c>
      <c r="D55" s="121">
        <v>6.5886127319986036E-4</v>
      </c>
      <c r="E55" s="121">
        <v>6.1402297861861571E-4</v>
      </c>
      <c r="F55" s="121">
        <v>8.1335921264714256E-4</v>
      </c>
      <c r="G55" s="121">
        <v>1.7627795956680182E-4</v>
      </c>
      <c r="H55" s="121">
        <v>5.4647724590841577E-4</v>
      </c>
      <c r="I55" s="121">
        <v>6.4594039264069785E-4</v>
      </c>
      <c r="J55" s="121">
        <v>6.8118480323355653E-4</v>
      </c>
      <c r="K55" s="121">
        <v>9.1597785257006771E-4</v>
      </c>
      <c r="L55" s="121">
        <v>8.1549897431436953E-4</v>
      </c>
      <c r="M55" s="121">
        <v>8.5985126413536854E-4</v>
      </c>
      <c r="N55" s="121">
        <v>8.499774494097191E-4</v>
      </c>
      <c r="O55" s="121">
        <v>8.3942803733955487E-4</v>
      </c>
      <c r="P55" s="121">
        <v>8.6401671323030717E-4</v>
      </c>
      <c r="Q55" s="121">
        <v>8.9096896460594298E-4</v>
      </c>
      <c r="R55" s="121">
        <v>8.6853314734885328E-4</v>
      </c>
      <c r="S55" s="121">
        <v>7.8833439148296651E-4</v>
      </c>
      <c r="T55" s="121">
        <v>1.0196175111127576E-3</v>
      </c>
      <c r="U55" s="121">
        <v>1.2010996171619829E-3</v>
      </c>
      <c r="V55" s="121">
        <v>1.1902905574907013E-3</v>
      </c>
      <c r="W55" s="121">
        <v>1.2092957168803324E-3</v>
      </c>
      <c r="X55" s="121">
        <v>1.3004539064794744E-3</v>
      </c>
      <c r="Y55" s="121">
        <v>1.1240069378883524E-3</v>
      </c>
      <c r="Z55" s="121">
        <v>6.4528162602706259E-4</v>
      </c>
      <c r="AA55" s="121">
        <v>9.9979426791594076E-4</v>
      </c>
      <c r="AB55" s="121">
        <v>1.0409311236550761E-3</v>
      </c>
      <c r="AC55" s="121">
        <v>1.1021596824543679E-3</v>
      </c>
    </row>
    <row r="56" spans="1:29" s="134" customFormat="1" ht="15.75" customHeight="1">
      <c r="A56" s="125" t="s">
        <v>426</v>
      </c>
      <c r="B56" s="124">
        <v>0</v>
      </c>
      <c r="C56" s="124">
        <v>0</v>
      </c>
      <c r="D56" s="124">
        <v>1.5375883793554046E-3</v>
      </c>
      <c r="E56" s="124">
        <v>1.6254193792656505E-3</v>
      </c>
      <c r="F56" s="124">
        <v>1.8226840327204028E-3</v>
      </c>
      <c r="G56" s="124">
        <v>1.8978537465109079E-3</v>
      </c>
      <c r="H56" s="124">
        <v>1.7380312341173233E-3</v>
      </c>
      <c r="I56" s="124">
        <v>1.7761189384468015E-3</v>
      </c>
      <c r="J56" s="124">
        <v>1.925773860863953E-3</v>
      </c>
      <c r="K56" s="124">
        <v>1.9199989154529598E-3</v>
      </c>
      <c r="L56" s="124">
        <v>1.9701377238939242E-3</v>
      </c>
      <c r="M56" s="124">
        <v>2.0404652075788048E-3</v>
      </c>
      <c r="N56" s="124">
        <v>1.8859494966145377E-3</v>
      </c>
      <c r="O56" s="124">
        <v>1.7591134104062796E-3</v>
      </c>
      <c r="P56" s="124">
        <v>1.9158050818553259E-3</v>
      </c>
      <c r="Q56" s="124">
        <v>1.7946141962290863E-3</v>
      </c>
      <c r="R56" s="124">
        <v>1.7446044789660687E-3</v>
      </c>
      <c r="S56" s="124">
        <v>1.7531387745799169E-3</v>
      </c>
      <c r="T56" s="124">
        <v>1.7775765756366121E-3</v>
      </c>
      <c r="U56" s="124">
        <v>1.9449838168728627E-3</v>
      </c>
      <c r="V56" s="124">
        <v>1.7612785840276468E-3</v>
      </c>
      <c r="W56" s="124">
        <v>1.7800295620704675E-3</v>
      </c>
      <c r="X56" s="124">
        <v>1.8399895888523237E-3</v>
      </c>
      <c r="Y56" s="124">
        <v>1.7058225963671593E-3</v>
      </c>
      <c r="Z56" s="124">
        <v>1.7999336255096613E-3</v>
      </c>
      <c r="AA56" s="124">
        <v>2.2973349028465994E-3</v>
      </c>
      <c r="AB56" s="124">
        <v>2.0601611742487457E-3</v>
      </c>
      <c r="AC56" s="124">
        <v>2.200280317245569E-3</v>
      </c>
    </row>
    <row r="57" spans="1:29" s="134" customFormat="1" ht="15.75" customHeight="1">
      <c r="A57" s="125" t="s">
        <v>427</v>
      </c>
      <c r="B57" s="124">
        <v>0</v>
      </c>
      <c r="C57" s="124">
        <v>0</v>
      </c>
      <c r="D57" s="124">
        <v>-8.7872710615554393E-4</v>
      </c>
      <c r="E57" s="124">
        <v>-1.011396400647035E-3</v>
      </c>
      <c r="F57" s="124">
        <v>-1.0093248200732604E-3</v>
      </c>
      <c r="G57" s="124">
        <v>-1.7215757869441066E-3</v>
      </c>
      <c r="H57" s="124">
        <v>-1.1915539882089079E-3</v>
      </c>
      <c r="I57" s="124">
        <v>-1.1301785458061038E-3</v>
      </c>
      <c r="J57" s="124">
        <v>-1.2445890576303969E-3</v>
      </c>
      <c r="K57" s="124">
        <v>-1.0040210628828922E-3</v>
      </c>
      <c r="L57" s="124">
        <v>-1.1546387495795548E-3</v>
      </c>
      <c r="M57" s="124">
        <v>-1.1806139434434358E-3</v>
      </c>
      <c r="N57" s="124">
        <v>-1.0359720472048186E-3</v>
      </c>
      <c r="O57" s="124">
        <v>-9.1968537306672514E-4</v>
      </c>
      <c r="P57" s="124">
        <v>-1.0517883686250186E-3</v>
      </c>
      <c r="Q57" s="124">
        <v>-9.0364523162314353E-4</v>
      </c>
      <c r="R57" s="124">
        <v>-8.7607133161721553E-4</v>
      </c>
      <c r="S57" s="124">
        <v>-9.6480438309695031E-4</v>
      </c>
      <c r="T57" s="124">
        <v>-7.5795906452385457E-4</v>
      </c>
      <c r="U57" s="124">
        <v>-7.4388419971087966E-4</v>
      </c>
      <c r="V57" s="124">
        <v>-5.7098802653694541E-4</v>
      </c>
      <c r="W57" s="124">
        <v>-5.7073384519013514E-4</v>
      </c>
      <c r="X57" s="124">
        <v>-5.3953568237284915E-4</v>
      </c>
      <c r="Y57" s="124">
        <v>-5.818156584788067E-4</v>
      </c>
      <c r="Z57" s="124">
        <v>-1.1546519994825991E-3</v>
      </c>
      <c r="AA57" s="124">
        <v>-1.2975406349306586E-3</v>
      </c>
      <c r="AB57" s="124">
        <v>-1.0192300505936698E-3</v>
      </c>
      <c r="AC57" s="124">
        <v>-1.0981206347912009E-3</v>
      </c>
    </row>
    <row r="58" spans="1:29" s="134" customFormat="1" ht="15.75" customHeight="1">
      <c r="A58" s="120" t="s">
        <v>428</v>
      </c>
      <c r="B58" s="121">
        <v>1.5547376442627445E-3</v>
      </c>
      <c r="C58" s="121">
        <v>1.3088235693191981E-3</v>
      </c>
      <c r="D58" s="121">
        <v>1.1538704462262708E-3</v>
      </c>
      <c r="E58" s="121">
        <v>1.4383991369800338E-3</v>
      </c>
      <c r="F58" s="121">
        <v>1.5231967537878599E-3</v>
      </c>
      <c r="G58" s="121">
        <v>1.5717530808329523E-3</v>
      </c>
      <c r="H58" s="121">
        <v>1.5153268150221726E-3</v>
      </c>
      <c r="I58" s="121">
        <v>1.4686082616642388E-3</v>
      </c>
      <c r="J58" s="121">
        <v>1.5848403165237108E-3</v>
      </c>
      <c r="K58" s="121">
        <v>1.675492548023324E-3</v>
      </c>
      <c r="L58" s="121">
        <v>1.667942170063761E-3</v>
      </c>
      <c r="M58" s="121">
        <v>1.6634288477242155E-3</v>
      </c>
      <c r="N58" s="121">
        <v>1.7221928670957229E-3</v>
      </c>
      <c r="O58" s="121">
        <v>1.6865589626702171E-3</v>
      </c>
      <c r="P58" s="121">
        <v>1.7756100926609403E-3</v>
      </c>
      <c r="Q58" s="121">
        <v>1.8251626118495647E-3</v>
      </c>
      <c r="R58" s="121">
        <v>1.6963162875896767E-3</v>
      </c>
      <c r="S58" s="121">
        <v>1.8689893174150991E-3</v>
      </c>
      <c r="T58" s="121">
        <v>2.060622795396498E-3</v>
      </c>
      <c r="U58" s="121">
        <v>1.8638842135921692E-3</v>
      </c>
      <c r="V58" s="121">
        <v>1.8250455809250765E-3</v>
      </c>
      <c r="W58" s="121">
        <v>1.8215016097154855E-3</v>
      </c>
      <c r="X58" s="121">
        <v>1.6593407846318053E-3</v>
      </c>
      <c r="Y58" s="121">
        <v>1.6586398279573693E-3</v>
      </c>
      <c r="Z58" s="121">
        <v>1.5632872580568049E-3</v>
      </c>
      <c r="AA58" s="121">
        <v>1.600847241764807E-3</v>
      </c>
      <c r="AB58" s="121">
        <v>1.6596345679658528E-3</v>
      </c>
      <c r="AC58" s="121">
        <v>1.6664520691640058E-3</v>
      </c>
    </row>
    <row r="59" spans="1:29" s="134" customFormat="1" ht="15.75" customHeight="1">
      <c r="A59" s="120" t="s">
        <v>429</v>
      </c>
      <c r="B59" s="121">
        <v>0</v>
      </c>
      <c r="C59" s="121">
        <v>6.8092764271198409E-5</v>
      </c>
      <c r="D59" s="121">
        <v>6.6778146467281509E-4</v>
      </c>
      <c r="E59" s="121">
        <v>1.5816753780740894E-3</v>
      </c>
      <c r="F59" s="121">
        <v>1.7206028902027727E-3</v>
      </c>
      <c r="G59" s="121">
        <v>2.2599076280392411E-3</v>
      </c>
      <c r="H59" s="121">
        <v>3.1875588895215784E-3</v>
      </c>
      <c r="I59" s="121">
        <v>3.8164895053408856E-3</v>
      </c>
      <c r="J59" s="121">
        <v>4.4092178709903137E-3</v>
      </c>
      <c r="K59" s="121">
        <v>4.7583188326071725E-3</v>
      </c>
      <c r="L59" s="121">
        <v>3.984820916215482E-3</v>
      </c>
      <c r="M59" s="121">
        <v>5.0791575414689989E-3</v>
      </c>
      <c r="N59" s="121">
        <v>3.6642486772847809E-3</v>
      </c>
      <c r="O59" s="121">
        <v>3.9839175588308046E-3</v>
      </c>
      <c r="P59" s="121">
        <v>4.2487858820096959E-3</v>
      </c>
      <c r="Q59" s="121">
        <v>4.6969344113843257E-3</v>
      </c>
      <c r="R59" s="121">
        <v>4.396624825500392E-3</v>
      </c>
      <c r="S59" s="121">
        <v>4.3521716849233066E-3</v>
      </c>
      <c r="T59" s="121">
        <v>3.1416932515864675E-3</v>
      </c>
      <c r="U59" s="121">
        <v>2.4310010233883979E-3</v>
      </c>
      <c r="V59" s="121">
        <v>3.3687397907257938E-3</v>
      </c>
      <c r="W59" s="121">
        <v>5.1355500510965749E-3</v>
      </c>
      <c r="X59" s="121">
        <v>5.2486367347594105E-3</v>
      </c>
      <c r="Y59" s="121">
        <v>4.6823289086089315E-3</v>
      </c>
      <c r="Z59" s="121">
        <v>6.2451842423442254E-3</v>
      </c>
      <c r="AA59" s="121">
        <v>7.7500089119917834E-3</v>
      </c>
      <c r="AB59" s="121">
        <v>6.0320239417403681E-3</v>
      </c>
      <c r="AC59" s="121">
        <v>5.8603106773500247E-3</v>
      </c>
    </row>
    <row r="60" spans="1:29" s="134" customFormat="1" ht="15.75" customHeight="1">
      <c r="A60" s="120" t="s">
        <v>430</v>
      </c>
      <c r="B60" s="121">
        <v>0</v>
      </c>
      <c r="C60" s="121">
        <v>0</v>
      </c>
      <c r="D60" s="121">
        <v>0</v>
      </c>
      <c r="E60" s="121">
        <v>0</v>
      </c>
      <c r="F60" s="121">
        <v>0</v>
      </c>
      <c r="G60" s="121">
        <v>0</v>
      </c>
      <c r="H60" s="121">
        <v>0</v>
      </c>
      <c r="I60" s="121">
        <v>5.6655159798959186E-4</v>
      </c>
      <c r="J60" s="121">
        <v>8.1823764600087885E-4</v>
      </c>
      <c r="K60" s="121">
        <v>7.3930713093200507E-4</v>
      </c>
      <c r="L60" s="121">
        <v>6.8017245536519471E-4</v>
      </c>
      <c r="M60" s="121">
        <v>5.0771045730535111E-4</v>
      </c>
      <c r="N60" s="121">
        <v>2.8874953119410258E-4</v>
      </c>
      <c r="O60" s="121">
        <v>4.5697287535884925E-4</v>
      </c>
      <c r="P60" s="121">
        <v>4.8206629567997022E-4</v>
      </c>
      <c r="Q60" s="121">
        <v>2.32178221748304E-4</v>
      </c>
      <c r="R60" s="121">
        <v>1.0750799926628131E-5</v>
      </c>
      <c r="S60" s="121">
        <v>2.0087116645493983E-5</v>
      </c>
      <c r="T60" s="121">
        <v>7.4712189484124177E-5</v>
      </c>
      <c r="U60" s="121">
        <v>1.9767370400140138E-4</v>
      </c>
      <c r="V60" s="121">
        <v>2.5794847206466582E-4</v>
      </c>
      <c r="W60" s="121">
        <v>1.9370846876878346E-4</v>
      </c>
      <c r="X60" s="121">
        <v>1.1108682700255731E-4</v>
      </c>
      <c r="Y60" s="121">
        <v>9.0681008783748165E-5</v>
      </c>
      <c r="Z60" s="121">
        <v>4.9263306782699273E-5</v>
      </c>
      <c r="AA60" s="121">
        <v>6.85374700457627E-5</v>
      </c>
      <c r="AB60" s="121">
        <v>1.2727088277542367E-5</v>
      </c>
      <c r="AC60" s="121">
        <v>8.3374099775422819E-5</v>
      </c>
    </row>
    <row r="61" spans="1:29" s="134" customFormat="1" ht="15.75" customHeight="1">
      <c r="A61" s="120" t="s">
        <v>431</v>
      </c>
      <c r="B61" s="121">
        <v>5.6768592617161082E-5</v>
      </c>
      <c r="C61" s="121">
        <v>1.373630084082342E-4</v>
      </c>
      <c r="D61" s="121">
        <v>4.0300262880610236E-4</v>
      </c>
      <c r="E61" s="121">
        <v>9.9107892940879629E-4</v>
      </c>
      <c r="F61" s="121">
        <v>9.935233353694675E-4</v>
      </c>
      <c r="G61" s="121">
        <v>9.772290432760579E-4</v>
      </c>
      <c r="H61" s="121">
        <v>9.7065498604068405E-4</v>
      </c>
      <c r="I61" s="121">
        <v>9.2862228145367879E-5</v>
      </c>
      <c r="J61" s="121">
        <v>9.3365146911112762E-5</v>
      </c>
      <c r="K61" s="121">
        <v>8.5243372042571471E-5</v>
      </c>
      <c r="L61" s="121">
        <v>8.5313388450623313E-5</v>
      </c>
      <c r="M61" s="121">
        <v>8.27834579445953E-5</v>
      </c>
      <c r="N61" s="121">
        <v>1.1096881433310218E-4</v>
      </c>
      <c r="O61" s="121">
        <v>1.4249454874915276E-4</v>
      </c>
      <c r="P61" s="121">
        <v>1.3888872405569524E-4</v>
      </c>
      <c r="Q61" s="121">
        <v>1.3969659332159048E-4</v>
      </c>
      <c r="R61" s="121">
        <v>1.5010673685534869E-4</v>
      </c>
      <c r="S61" s="121">
        <v>1.7562290867368028E-4</v>
      </c>
      <c r="T61" s="121">
        <v>2.0609782775579056E-4</v>
      </c>
      <c r="U61" s="121">
        <v>2.0588301005534986E-4</v>
      </c>
      <c r="V61" s="121">
        <v>2.2344101002353306E-4</v>
      </c>
      <c r="W61" s="121">
        <v>2.1970293232580947E-4</v>
      </c>
      <c r="X61" s="121">
        <v>1.7950782260080927E-3</v>
      </c>
      <c r="Y61" s="121">
        <v>2.2152130264617727E-4</v>
      </c>
      <c r="Z61" s="121">
        <v>2.2761061814969853E-4</v>
      </c>
      <c r="AA61" s="121">
        <v>1.0174077860856854E-3</v>
      </c>
      <c r="AB61" s="121">
        <v>2.7577532308024601E-4</v>
      </c>
      <c r="AC61" s="121">
        <v>2.8529364236234013E-4</v>
      </c>
    </row>
    <row r="62" spans="1:29" s="133" customFormat="1" ht="16.5" thickBot="1">
      <c r="A62" s="131" t="s">
        <v>432</v>
      </c>
      <c r="B62" s="132">
        <v>0.14155055407177056</v>
      </c>
      <c r="C62" s="132">
        <v>0.15599315628686192</v>
      </c>
      <c r="D62" s="132">
        <v>0.16442252091867018</v>
      </c>
      <c r="E62" s="132">
        <v>0.16542038048964772</v>
      </c>
      <c r="F62" s="132">
        <v>0.17281347889821325</v>
      </c>
      <c r="G62" s="132">
        <v>0.18003799476339574</v>
      </c>
      <c r="H62" s="132">
        <v>0.17416244660266531</v>
      </c>
      <c r="I62" s="132">
        <v>0.18130602163758061</v>
      </c>
      <c r="J62" s="132">
        <v>0.18778285098520134</v>
      </c>
      <c r="K62" s="132">
        <v>0.18779664926744036</v>
      </c>
      <c r="L62" s="132">
        <v>0.18984761692633675</v>
      </c>
      <c r="M62" s="132">
        <v>0.18916210016181878</v>
      </c>
      <c r="N62" s="132">
        <v>0.18555012627787873</v>
      </c>
      <c r="O62" s="132">
        <v>0.20205661223343302</v>
      </c>
      <c r="P62" s="132">
        <v>0.18856544232373285</v>
      </c>
      <c r="Q62" s="132">
        <v>0.18711108791808281</v>
      </c>
      <c r="R62" s="132">
        <v>0.18701416544048433</v>
      </c>
      <c r="S62" s="132">
        <v>0.17702387130877484</v>
      </c>
      <c r="T62" s="132">
        <v>0.17419221681260769</v>
      </c>
      <c r="U62" s="132">
        <v>0.17372674664799079</v>
      </c>
      <c r="V62" s="132">
        <v>0.175434134036942</v>
      </c>
      <c r="W62" s="132">
        <v>0.17593528430453889</v>
      </c>
      <c r="X62" s="132">
        <v>0.18233227944507296</v>
      </c>
      <c r="Y62" s="132">
        <v>0.15826042946056776</v>
      </c>
      <c r="Z62" s="132">
        <v>0.17521948109964292</v>
      </c>
      <c r="AA62" s="132">
        <v>0.18414296529423818</v>
      </c>
      <c r="AB62" s="132">
        <v>0.17375155534690065</v>
      </c>
      <c r="AC62" s="132">
        <v>0.18406479124073954</v>
      </c>
    </row>
    <row r="63" spans="1:29" s="133" customFormat="1" ht="18.75" thickBot="1">
      <c r="A63" s="118" t="s">
        <v>433</v>
      </c>
      <c r="B63" s="119">
        <v>0.13965918479271203</v>
      </c>
      <c r="C63" s="119">
        <v>0.14843391041798881</v>
      </c>
      <c r="D63" s="119">
        <v>0.14588423059291974</v>
      </c>
      <c r="E63" s="119">
        <v>0.14792197097037948</v>
      </c>
      <c r="F63" s="119">
        <v>0.15629285569652845</v>
      </c>
      <c r="G63" s="119">
        <v>0.15882797667000498</v>
      </c>
      <c r="H63" s="119">
        <v>0.15141438094770496</v>
      </c>
      <c r="I63" s="119">
        <v>0.15610290850441907</v>
      </c>
      <c r="J63" s="119">
        <v>0.16351603822376667</v>
      </c>
      <c r="K63" s="119">
        <v>0.16756454998020914</v>
      </c>
      <c r="L63" s="119">
        <v>0.16865466970378465</v>
      </c>
      <c r="M63" s="119">
        <v>0.16619010254733665</v>
      </c>
      <c r="N63" s="119">
        <v>0.17371815711681446</v>
      </c>
      <c r="O63" s="119">
        <v>0.18201177543342012</v>
      </c>
      <c r="P63" s="119">
        <v>0.16756841078858553</v>
      </c>
      <c r="Q63" s="119">
        <v>0.16945954012453732</v>
      </c>
      <c r="R63" s="119">
        <v>0.17347997537236617</v>
      </c>
      <c r="S63" s="119">
        <v>0.18108730691943054</v>
      </c>
      <c r="T63" s="119">
        <v>0.19429003325162267</v>
      </c>
      <c r="U63" s="119">
        <v>0.19945129398368328</v>
      </c>
      <c r="V63" s="119">
        <v>0.19430314669828738</v>
      </c>
      <c r="W63" s="119">
        <v>0.19309959929996331</v>
      </c>
      <c r="X63" s="119">
        <v>0.19519776345100565</v>
      </c>
      <c r="Y63" s="119">
        <v>0.25593377767443731</v>
      </c>
      <c r="Z63" s="119">
        <v>0.17911066862121949</v>
      </c>
      <c r="AA63" s="119">
        <v>0.17953880356492258</v>
      </c>
      <c r="AB63" s="119">
        <v>0.19463176959828976</v>
      </c>
      <c r="AC63" s="119">
        <v>0.18771951676293039</v>
      </c>
    </row>
    <row r="64" spans="1:29" s="134" customFormat="1" ht="15.75" customHeight="1">
      <c r="A64" s="120" t="s">
        <v>434</v>
      </c>
      <c r="B64" s="121">
        <v>4.9418126109036162E-2</v>
      </c>
      <c r="C64" s="121">
        <v>5.3250458644822182E-2</v>
      </c>
      <c r="D64" s="121">
        <v>5.3819488708622368E-2</v>
      </c>
      <c r="E64" s="121">
        <v>5.4864076942904183E-2</v>
      </c>
      <c r="F64" s="121">
        <v>5.7250840478307925E-2</v>
      </c>
      <c r="G64" s="121">
        <v>5.9126418943857957E-2</v>
      </c>
      <c r="H64" s="121">
        <v>6.2361989884926812E-2</v>
      </c>
      <c r="I64" s="121">
        <v>6.423224944940685E-2</v>
      </c>
      <c r="J64" s="121">
        <v>6.726765499400883E-2</v>
      </c>
      <c r="K64" s="121">
        <v>6.8723279274000376E-2</v>
      </c>
      <c r="L64" s="121">
        <v>6.811600392854858E-2</v>
      </c>
      <c r="M64" s="121">
        <v>6.4171912734655112E-2</v>
      </c>
      <c r="N64" s="121">
        <v>6.7468860117272711E-2</v>
      </c>
      <c r="O64" s="121">
        <v>6.5586358494150912E-2</v>
      </c>
      <c r="P64" s="121">
        <v>6.4308421786255093E-2</v>
      </c>
      <c r="Q64" s="121">
        <v>6.5753954002229373E-2</v>
      </c>
      <c r="R64" s="121">
        <v>6.6959609009649812E-2</v>
      </c>
      <c r="S64" s="121">
        <v>6.8213264359853337E-2</v>
      </c>
      <c r="T64" s="121">
        <v>7.2732753842704334E-2</v>
      </c>
      <c r="U64" s="121">
        <v>8.1008885825732943E-2</v>
      </c>
      <c r="V64" s="121">
        <v>8.4615686620710839E-2</v>
      </c>
      <c r="W64" s="121">
        <v>8.3718867437612574E-2</v>
      </c>
      <c r="X64" s="121">
        <v>8.4788099590150101E-2</v>
      </c>
      <c r="Y64" s="121">
        <v>8.7245670494343106E-2</v>
      </c>
      <c r="Z64" s="121">
        <v>7.8736276164327809E-2</v>
      </c>
      <c r="AA64" s="121">
        <v>7.9067670731741119E-2</v>
      </c>
      <c r="AB64" s="121">
        <v>8.2138773789326089E-2</v>
      </c>
      <c r="AC64" s="121">
        <v>7.9912107997762577E-2</v>
      </c>
    </row>
    <row r="65" spans="1:29" s="134" customFormat="1" ht="15.75" customHeight="1">
      <c r="A65" s="135" t="s">
        <v>435</v>
      </c>
      <c r="B65" s="124">
        <v>0</v>
      </c>
      <c r="C65" s="124">
        <v>0</v>
      </c>
      <c r="D65" s="124">
        <v>0</v>
      </c>
      <c r="E65" s="124">
        <v>0</v>
      </c>
      <c r="F65" s="124">
        <v>4.6153832515931817E-2</v>
      </c>
      <c r="G65" s="124">
        <v>4.7679768746352595E-2</v>
      </c>
      <c r="H65" s="124">
        <v>5.0394274891461761E-2</v>
      </c>
      <c r="I65" s="124">
        <v>5.2355588480433361E-2</v>
      </c>
      <c r="J65" s="124">
        <v>5.4681201723722685E-2</v>
      </c>
      <c r="K65" s="124">
        <v>5.5324320889094336E-2</v>
      </c>
      <c r="L65" s="124">
        <v>5.4669355737268381E-2</v>
      </c>
      <c r="M65" s="124">
        <v>5.1338315633801826E-2</v>
      </c>
      <c r="N65" s="124">
        <v>5.2754186361232198E-2</v>
      </c>
      <c r="O65" s="124">
        <v>5.1152163521607577E-2</v>
      </c>
      <c r="P65" s="124">
        <v>5.027059875988827E-2</v>
      </c>
      <c r="Q65" s="124">
        <v>5.097951926086014E-2</v>
      </c>
      <c r="R65" s="124">
        <v>5.1888294741848633E-2</v>
      </c>
      <c r="S65" s="124">
        <v>5.2864020232661457E-2</v>
      </c>
      <c r="T65" s="124">
        <v>5.6381144720295304E-2</v>
      </c>
      <c r="U65" s="124">
        <v>6.3254146620966262E-2</v>
      </c>
      <c r="V65" s="124">
        <v>6.6387628580144312E-2</v>
      </c>
      <c r="W65" s="124">
        <v>6.6053784427592466E-2</v>
      </c>
      <c r="X65" s="124">
        <v>6.7185542805725473E-2</v>
      </c>
      <c r="Y65" s="124">
        <v>6.9540184020512236E-2</v>
      </c>
      <c r="Z65" s="124">
        <v>6.2586864118798047E-2</v>
      </c>
      <c r="AA65" s="124">
        <v>6.2872317027803534E-2</v>
      </c>
      <c r="AB65" s="124">
        <v>6.5162573509327124E-2</v>
      </c>
      <c r="AC65" s="124">
        <v>6.3144732667399797E-2</v>
      </c>
    </row>
    <row r="66" spans="1:29" s="134" customFormat="1" ht="15.75" customHeight="1">
      <c r="A66" s="136" t="s">
        <v>436</v>
      </c>
      <c r="B66" s="124">
        <v>0</v>
      </c>
      <c r="C66" s="124">
        <v>0</v>
      </c>
      <c r="D66" s="124">
        <v>0</v>
      </c>
      <c r="E66" s="124">
        <v>0</v>
      </c>
      <c r="F66" s="124">
        <v>0</v>
      </c>
      <c r="G66" s="124">
        <v>0</v>
      </c>
      <c r="H66" s="124">
        <v>0</v>
      </c>
      <c r="I66" s="124">
        <v>0</v>
      </c>
      <c r="J66" s="124">
        <v>0</v>
      </c>
      <c r="K66" s="124">
        <v>0</v>
      </c>
      <c r="L66" s="124">
        <v>0</v>
      </c>
      <c r="M66" s="124">
        <v>0</v>
      </c>
      <c r="N66" s="124">
        <v>1.5609923981058024E-3</v>
      </c>
      <c r="O66" s="124">
        <v>1.4409417555067468E-3</v>
      </c>
      <c r="P66" s="124">
        <v>1.2824062857729394E-3</v>
      </c>
      <c r="Q66" s="124">
        <v>1.0893595406714822E-3</v>
      </c>
      <c r="R66" s="124">
        <v>1.0651371940938565E-3</v>
      </c>
      <c r="S66" s="124">
        <v>1.2357289899174297E-3</v>
      </c>
      <c r="T66" s="124">
        <v>1.2233952830660469E-3</v>
      </c>
      <c r="U66" s="124">
        <v>1.4268246138396925E-3</v>
      </c>
      <c r="V66" s="124">
        <v>1.5805457415670244E-3</v>
      </c>
      <c r="W66" s="124">
        <v>1.6993415173823176E-3</v>
      </c>
      <c r="X66" s="124">
        <v>1.9524690257716111E-3</v>
      </c>
      <c r="Y66" s="124">
        <v>2.0955402127029957E-3</v>
      </c>
      <c r="Z66" s="124">
        <v>2.1753773378379061E-3</v>
      </c>
      <c r="AA66" s="124">
        <v>2.2005385649558895E-3</v>
      </c>
      <c r="AB66" s="124">
        <v>4.0637144596733701E-3</v>
      </c>
      <c r="AC66" s="124">
        <v>1.7774365747324403E-3</v>
      </c>
    </row>
    <row r="67" spans="1:29" s="134" customFormat="1" ht="15.75" customHeight="1">
      <c r="A67" s="135" t="s">
        <v>437</v>
      </c>
      <c r="B67" s="124">
        <v>0</v>
      </c>
      <c r="C67" s="124">
        <v>0</v>
      </c>
      <c r="D67" s="124">
        <v>0</v>
      </c>
      <c r="E67" s="124">
        <v>0</v>
      </c>
      <c r="F67" s="124">
        <v>1.1097007962376115E-2</v>
      </c>
      <c r="G67" s="124">
        <v>1.1446650197505346E-2</v>
      </c>
      <c r="H67" s="124">
        <v>1.1967714993465056E-2</v>
      </c>
      <c r="I67" s="124">
        <v>1.1876660968973492E-2</v>
      </c>
      <c r="J67" s="124">
        <v>1.2586453270286149E-2</v>
      </c>
      <c r="K67" s="124">
        <v>1.3398958384906056E-2</v>
      </c>
      <c r="L67" s="124">
        <v>1.3446648191280214E-2</v>
      </c>
      <c r="M67" s="124">
        <v>1.2833597100853276E-2</v>
      </c>
      <c r="N67" s="124">
        <v>1.4714673756040514E-2</v>
      </c>
      <c r="O67" s="124">
        <v>1.4434194972543333E-2</v>
      </c>
      <c r="P67" s="124">
        <v>1.4037823026366825E-2</v>
      </c>
      <c r="Q67" s="124">
        <v>1.4774434741369247E-2</v>
      </c>
      <c r="R67" s="124">
        <v>1.5071314267801186E-2</v>
      </c>
      <c r="S67" s="124">
        <v>1.5349244127191877E-2</v>
      </c>
      <c r="T67" s="124">
        <v>1.6351609139325544E-2</v>
      </c>
      <c r="U67" s="124">
        <v>1.7754736392328104E-2</v>
      </c>
      <c r="V67" s="124">
        <v>1.8228058040568047E-2</v>
      </c>
      <c r="W67" s="124">
        <v>1.7665083010020094E-2</v>
      </c>
      <c r="X67" s="124">
        <v>1.7602556784424628E-2</v>
      </c>
      <c r="Y67" s="124">
        <v>1.7705486473830873E-2</v>
      </c>
      <c r="Z67" s="124">
        <v>1.6149412045529755E-2</v>
      </c>
      <c r="AA67" s="124">
        <v>1.6195353703937567E-2</v>
      </c>
      <c r="AB67" s="124">
        <v>1.6976200279998972E-2</v>
      </c>
      <c r="AC67" s="124">
        <v>1.6767375330362762E-2</v>
      </c>
    </row>
    <row r="68" spans="1:29" s="134" customFormat="1" ht="15.75" customHeight="1">
      <c r="A68" s="137" t="s">
        <v>438</v>
      </c>
      <c r="B68" s="124">
        <v>0</v>
      </c>
      <c r="C68" s="124">
        <v>0</v>
      </c>
      <c r="D68" s="124">
        <v>0</v>
      </c>
      <c r="E68" s="124">
        <v>0</v>
      </c>
      <c r="F68" s="124">
        <v>0</v>
      </c>
      <c r="G68" s="124">
        <v>0</v>
      </c>
      <c r="H68" s="124">
        <v>0</v>
      </c>
      <c r="I68" s="124">
        <v>0</v>
      </c>
      <c r="J68" s="124">
        <v>0</v>
      </c>
      <c r="K68" s="124">
        <v>0</v>
      </c>
      <c r="L68" s="124">
        <v>0</v>
      </c>
      <c r="M68" s="124">
        <v>0</v>
      </c>
      <c r="N68" s="124">
        <v>3.9112203418739991E-4</v>
      </c>
      <c r="O68" s="124">
        <v>4.1941752815612972E-4</v>
      </c>
      <c r="P68" s="124">
        <v>3.6560552471138553E-4</v>
      </c>
      <c r="Q68" s="124">
        <v>3.2100172936596613E-4</v>
      </c>
      <c r="R68" s="124">
        <v>3.2431760323655974E-4</v>
      </c>
      <c r="S68" s="124">
        <v>3.824321368120647E-4</v>
      </c>
      <c r="T68" s="124">
        <v>3.8135382627973134E-4</v>
      </c>
      <c r="U68" s="124">
        <v>4.2294668465843547E-4</v>
      </c>
      <c r="V68" s="124">
        <v>4.3435604695562542E-4</v>
      </c>
      <c r="W68" s="124">
        <v>4.5925235232849749E-4</v>
      </c>
      <c r="X68" s="124">
        <v>5.1797156579465558E-4</v>
      </c>
      <c r="Y68" s="124">
        <v>5.1523204184565575E-4</v>
      </c>
      <c r="Z68" s="124">
        <v>5.6318028309166831E-4</v>
      </c>
      <c r="AA68" s="124">
        <v>5.7192376410508856E-4</v>
      </c>
      <c r="AB68" s="124">
        <v>1.1037272736139714E-3</v>
      </c>
      <c r="AC68" s="124">
        <v>4.7888694528325611E-4</v>
      </c>
    </row>
    <row r="69" spans="1:29" s="134" customFormat="1" ht="15.75" customHeight="1">
      <c r="A69" s="120" t="s">
        <v>439</v>
      </c>
      <c r="B69" s="121">
        <v>4.2151649016373686E-2</v>
      </c>
      <c r="C69" s="121">
        <v>4.4559947746487999E-2</v>
      </c>
      <c r="D69" s="121">
        <v>4.4369580694706916E-2</v>
      </c>
      <c r="E69" s="121">
        <v>4.5464180723507011E-2</v>
      </c>
      <c r="F69" s="121">
        <v>4.8046863809577782E-2</v>
      </c>
      <c r="G69" s="121">
        <v>4.8264972495688362E-2</v>
      </c>
      <c r="H69" s="121">
        <v>4.4598491003391257E-2</v>
      </c>
      <c r="I69" s="121">
        <v>4.3210093736653861E-2</v>
      </c>
      <c r="J69" s="121">
        <v>4.2940936455216197E-2</v>
      </c>
      <c r="K69" s="121">
        <v>4.4256699326300948E-2</v>
      </c>
      <c r="L69" s="121">
        <v>4.3225872617945429E-2</v>
      </c>
      <c r="M69" s="121">
        <v>4.2573977403693446E-2</v>
      </c>
      <c r="N69" s="121">
        <v>4.6025151624869032E-2</v>
      </c>
      <c r="O69" s="121">
        <v>4.3337960826677145E-2</v>
      </c>
      <c r="P69" s="121">
        <v>4.1458788685654745E-2</v>
      </c>
      <c r="Q69" s="121">
        <v>3.9128530586492787E-2</v>
      </c>
      <c r="R69" s="121">
        <v>3.8478539712421177E-2</v>
      </c>
      <c r="S69" s="121">
        <v>3.8480229745979824E-2</v>
      </c>
      <c r="T69" s="121">
        <v>3.9777767969055106E-2</v>
      </c>
      <c r="U69" s="121">
        <v>4.1132292550076575E-2</v>
      </c>
      <c r="V69" s="121">
        <v>4.3131425802721557E-2</v>
      </c>
      <c r="W69" s="121">
        <v>4.2549243048429074E-2</v>
      </c>
      <c r="X69" s="121">
        <v>4.2371330011830251E-2</v>
      </c>
      <c r="Y69" s="121">
        <v>4.2229481748588427E-2</v>
      </c>
      <c r="Z69" s="121">
        <v>3.6544822840400053E-2</v>
      </c>
      <c r="AA69" s="121">
        <v>3.3527068280540848E-2</v>
      </c>
      <c r="AB69" s="121">
        <v>3.3237250456031806E-2</v>
      </c>
      <c r="AC69" s="121">
        <v>3.1278367283520861E-2</v>
      </c>
    </row>
    <row r="70" spans="1:29" ht="15.75" customHeight="1">
      <c r="A70" s="137" t="s">
        <v>440</v>
      </c>
      <c r="B70" s="124">
        <v>0</v>
      </c>
      <c r="C70" s="124">
        <v>0</v>
      </c>
      <c r="D70" s="124">
        <v>0</v>
      </c>
      <c r="E70" s="124">
        <v>0</v>
      </c>
      <c r="F70" s="124">
        <v>0</v>
      </c>
      <c r="G70" s="124">
        <v>0</v>
      </c>
      <c r="H70" s="124">
        <v>0</v>
      </c>
      <c r="I70" s="124">
        <v>0</v>
      </c>
      <c r="J70" s="124">
        <v>0</v>
      </c>
      <c r="K70" s="124">
        <v>1.2491189225352802E-3</v>
      </c>
      <c r="L70" s="124">
        <v>9.5705232145829728E-4</v>
      </c>
      <c r="M70" s="124">
        <v>1.2039216022500837E-3</v>
      </c>
      <c r="N70" s="124">
        <v>1.7810832965960196E-3</v>
      </c>
      <c r="O70" s="124">
        <v>1.1820921631816351E-3</v>
      </c>
      <c r="P70" s="124">
        <v>1.2814098521741011E-3</v>
      </c>
      <c r="Q70" s="124">
        <v>9.5675564725753869E-4</v>
      </c>
      <c r="R70" s="124">
        <v>9.645239528724177E-4</v>
      </c>
      <c r="S70" s="124">
        <v>8.0521712844058109E-4</v>
      </c>
      <c r="T70" s="124">
        <v>9.7444736529778359E-4</v>
      </c>
      <c r="U70" s="124">
        <v>1.2616492981509899E-3</v>
      </c>
      <c r="V70" s="124">
        <v>1.0879379863526898E-3</v>
      </c>
      <c r="W70" s="124">
        <v>9.6090917621339503E-4</v>
      </c>
      <c r="X70" s="124">
        <v>8.9533226933850483E-4</v>
      </c>
      <c r="Y70" s="124">
        <v>8.4343126956320158E-4</v>
      </c>
      <c r="Z70" s="124">
        <v>1.0816491698459642E-3</v>
      </c>
      <c r="AA70" s="124">
        <v>1.1088974287153126E-3</v>
      </c>
      <c r="AB70" s="124">
        <v>1.8315585548396185E-3</v>
      </c>
      <c r="AC70" s="124">
        <v>3.6265565151751076E-4</v>
      </c>
    </row>
    <row r="71" spans="1:29" ht="15.75" customHeight="1">
      <c r="A71" s="120" t="s">
        <v>441</v>
      </c>
      <c r="B71" s="121">
        <v>9.028487069047731E-3</v>
      </c>
      <c r="C71" s="121">
        <v>8.9052735631889434E-3</v>
      </c>
      <c r="D71" s="121">
        <v>1.2434767032983499E-2</v>
      </c>
      <c r="E71" s="121">
        <v>1.1791582194612824E-2</v>
      </c>
      <c r="F71" s="121">
        <v>1.2289935552930347E-2</v>
      </c>
      <c r="G71" s="121">
        <v>1.1648677255928835E-2</v>
      </c>
      <c r="H71" s="121">
        <v>1.3026497733534518E-2</v>
      </c>
      <c r="I71" s="121">
        <v>1.357008666348254E-2</v>
      </c>
      <c r="J71" s="121">
        <v>1.8078815027119062E-2</v>
      </c>
      <c r="K71" s="121">
        <v>1.9141687911935178E-2</v>
      </c>
      <c r="L71" s="121">
        <v>2.0818707867361137E-2</v>
      </c>
      <c r="M71" s="121">
        <v>1.9850404701963986E-2</v>
      </c>
      <c r="N71" s="121">
        <v>2.1444357630701724E-2</v>
      </c>
      <c r="O71" s="121">
        <v>2.3052371688474602E-2</v>
      </c>
      <c r="P71" s="121">
        <v>2.2591193248457191E-2</v>
      </c>
      <c r="Q71" s="121">
        <v>2.3703282610840669E-2</v>
      </c>
      <c r="R71" s="121">
        <v>2.6653192782320995E-2</v>
      </c>
      <c r="S71" s="121">
        <v>2.955301919904909E-2</v>
      </c>
      <c r="T71" s="121">
        <v>4.1446095993871987E-2</v>
      </c>
      <c r="U71" s="121">
        <v>3.4090223054815322E-2</v>
      </c>
      <c r="V71" s="121">
        <v>2.9935354834588732E-2</v>
      </c>
      <c r="W71" s="121">
        <v>2.8801100841752525E-2</v>
      </c>
      <c r="X71" s="121">
        <v>2.645622187168244E-2</v>
      </c>
      <c r="Y71" s="121">
        <v>9.4675624997179422E-2</v>
      </c>
      <c r="Z71" s="121">
        <v>3.3968291315846083E-2</v>
      </c>
      <c r="AA71" s="121">
        <v>3.0108925259674648E-2</v>
      </c>
      <c r="AB71" s="121">
        <v>3.2669029819676412E-2</v>
      </c>
      <c r="AC71" s="121">
        <v>3.0514855072639176E-2</v>
      </c>
    </row>
    <row r="72" spans="1:29" ht="15.75" customHeight="1">
      <c r="A72" s="126" t="s">
        <v>442</v>
      </c>
      <c r="B72" s="124">
        <v>4.5343196956965795E-3</v>
      </c>
      <c r="C72" s="124">
        <v>4.4481061291603442E-3</v>
      </c>
      <c r="D72" s="124">
        <v>4.4525474505118781E-3</v>
      </c>
      <c r="E72" s="124">
        <v>3.8663592182415227E-3</v>
      </c>
      <c r="F72" s="124">
        <v>4.2825463797837313E-3</v>
      </c>
      <c r="G72" s="124">
        <v>4.8348643365195331E-3</v>
      </c>
      <c r="H72" s="124">
        <v>4.8213120194731188E-3</v>
      </c>
      <c r="I72" s="124">
        <v>4.873055418340556E-3</v>
      </c>
      <c r="J72" s="124">
        <v>5.2910042558627357E-3</v>
      </c>
      <c r="K72" s="124">
        <v>6.1248826097169062E-3</v>
      </c>
      <c r="L72" s="124">
        <v>6.6145617469026705E-3</v>
      </c>
      <c r="M72" s="124">
        <v>6.5635568454840264E-3</v>
      </c>
      <c r="N72" s="124">
        <v>8.0788355092818714E-3</v>
      </c>
      <c r="O72" s="124">
        <v>7.6710894430999446E-3</v>
      </c>
      <c r="P72" s="124">
        <v>7.8086072953827985E-3</v>
      </c>
      <c r="Q72" s="124">
        <v>8.0749396782999576E-3</v>
      </c>
      <c r="R72" s="124">
        <v>8.2968268485977756E-3</v>
      </c>
      <c r="S72" s="124">
        <v>9.3225977740119866E-3</v>
      </c>
      <c r="T72" s="124">
        <v>7.92132851475345E-3</v>
      </c>
      <c r="U72" s="124">
        <v>8.9345722682224529E-3</v>
      </c>
      <c r="V72" s="124">
        <v>8.277009834083901E-3</v>
      </c>
      <c r="W72" s="124">
        <v>7.645950992155255E-3</v>
      </c>
      <c r="X72" s="124">
        <v>7.5235175697417273E-3</v>
      </c>
      <c r="Y72" s="124">
        <v>7.8283733352662744E-3</v>
      </c>
      <c r="Z72" s="124">
        <v>5.0925406450213302E-3</v>
      </c>
      <c r="AA72" s="124">
        <v>6.37628155640344E-3</v>
      </c>
      <c r="AB72" s="124">
        <v>6.657569836252571E-3</v>
      </c>
      <c r="AC72" s="124">
        <v>6.8722367563109014E-3</v>
      </c>
    </row>
    <row r="73" spans="1:29" ht="15.75" customHeight="1">
      <c r="A73" s="138" t="s">
        <v>443</v>
      </c>
      <c r="B73" s="124">
        <v>0</v>
      </c>
      <c r="C73" s="124">
        <v>0</v>
      </c>
      <c r="D73" s="124">
        <v>0</v>
      </c>
      <c r="E73" s="124">
        <v>0</v>
      </c>
      <c r="F73" s="124">
        <v>0</v>
      </c>
      <c r="G73" s="124">
        <v>0</v>
      </c>
      <c r="H73" s="124">
        <v>0</v>
      </c>
      <c r="I73" s="124">
        <v>0</v>
      </c>
      <c r="J73" s="124">
        <v>0</v>
      </c>
      <c r="K73" s="124">
        <v>0</v>
      </c>
      <c r="L73" s="124">
        <v>0</v>
      </c>
      <c r="M73" s="124">
        <v>0</v>
      </c>
      <c r="N73" s="124">
        <v>2.1842644106507122E-3</v>
      </c>
      <c r="O73" s="124">
        <v>2.3236814724715421E-3</v>
      </c>
      <c r="P73" s="124">
        <v>2.3716842497631249E-3</v>
      </c>
      <c r="Q73" s="124">
        <v>2.5551125350742154E-3</v>
      </c>
      <c r="R73" s="124">
        <v>2.5295115407389943E-3</v>
      </c>
      <c r="S73" s="124">
        <v>2.8869078080709758E-3</v>
      </c>
      <c r="T73" s="124">
        <v>1.5312122253807693E-3</v>
      </c>
      <c r="U73" s="124">
        <v>2.9264351819319324E-3</v>
      </c>
      <c r="V73" s="124">
        <v>2.5155192321239458E-3</v>
      </c>
      <c r="W73" s="124">
        <v>2.4609492013085419E-3</v>
      </c>
      <c r="X73" s="124">
        <v>2.3823262627137702E-3</v>
      </c>
      <c r="Y73" s="124">
        <v>2.5730375856616826E-3</v>
      </c>
      <c r="Z73" s="124">
        <v>1.1271742598792293E-3</v>
      </c>
      <c r="AA73" s="124">
        <v>2.3377791047397224E-3</v>
      </c>
      <c r="AB73" s="124">
        <v>2.2863211907580127E-3</v>
      </c>
      <c r="AC73" s="124">
        <v>2.4088578561977923E-3</v>
      </c>
    </row>
    <row r="74" spans="1:29" ht="15.75" customHeight="1">
      <c r="A74" s="138" t="s">
        <v>444</v>
      </c>
      <c r="B74" s="124">
        <v>0</v>
      </c>
      <c r="C74" s="124">
        <v>0</v>
      </c>
      <c r="D74" s="124">
        <v>0</v>
      </c>
      <c r="E74" s="124">
        <v>0</v>
      </c>
      <c r="F74" s="124">
        <v>0</v>
      </c>
      <c r="G74" s="124">
        <v>0</v>
      </c>
      <c r="H74" s="124">
        <v>0</v>
      </c>
      <c r="I74" s="124">
        <v>0</v>
      </c>
      <c r="J74" s="124">
        <v>0</v>
      </c>
      <c r="K74" s="124">
        <v>0</v>
      </c>
      <c r="L74" s="124">
        <v>0</v>
      </c>
      <c r="M74" s="124">
        <v>0</v>
      </c>
      <c r="N74" s="124">
        <v>5.8945710986311583E-3</v>
      </c>
      <c r="O74" s="124">
        <v>5.3474079706284025E-3</v>
      </c>
      <c r="P74" s="124">
        <v>5.4369230456196736E-3</v>
      </c>
      <c r="Q74" s="124">
        <v>5.5198271432257418E-3</v>
      </c>
      <c r="R74" s="124">
        <v>5.7673153078587813E-3</v>
      </c>
      <c r="S74" s="124">
        <v>6.4356899659410091E-3</v>
      </c>
      <c r="T74" s="124">
        <v>6.3901162893726807E-3</v>
      </c>
      <c r="U74" s="124">
        <v>6.0081370862905192E-3</v>
      </c>
      <c r="V74" s="124">
        <v>5.761490601959956E-3</v>
      </c>
      <c r="W74" s="124">
        <v>5.1850017908467126E-3</v>
      </c>
      <c r="X74" s="124">
        <v>5.1411913070279558E-3</v>
      </c>
      <c r="Y74" s="124">
        <v>5.2553357496045918E-3</v>
      </c>
      <c r="Z74" s="124">
        <v>3.9653663851421019E-3</v>
      </c>
      <c r="AA74" s="124">
        <v>4.0385024516637179E-3</v>
      </c>
      <c r="AB74" s="124">
        <v>4.3712486454945583E-3</v>
      </c>
      <c r="AC74" s="124">
        <v>4.4633789001131095E-3</v>
      </c>
    </row>
    <row r="75" spans="1:29" ht="15.75" customHeight="1">
      <c r="A75" s="139" t="s">
        <v>445</v>
      </c>
      <c r="B75" s="124">
        <v>0</v>
      </c>
      <c r="C75" s="124">
        <v>0</v>
      </c>
      <c r="D75" s="124">
        <v>0</v>
      </c>
      <c r="E75" s="124">
        <v>0</v>
      </c>
      <c r="F75" s="124">
        <v>0</v>
      </c>
      <c r="G75" s="124">
        <v>0</v>
      </c>
      <c r="H75" s="124">
        <v>0</v>
      </c>
      <c r="I75" s="124">
        <v>0</v>
      </c>
      <c r="J75" s="124">
        <v>0</v>
      </c>
      <c r="K75" s="124">
        <v>0</v>
      </c>
      <c r="L75" s="124">
        <v>0</v>
      </c>
      <c r="M75" s="124">
        <v>0</v>
      </c>
      <c r="N75" s="124">
        <v>2.6739083611918815E-4</v>
      </c>
      <c r="O75" s="124">
        <v>3.1369853343458503E-4</v>
      </c>
      <c r="P75" s="124">
        <v>2.8893697786030906E-4</v>
      </c>
      <c r="Q75" s="124">
        <v>3.7152152861945266E-4</v>
      </c>
      <c r="R75" s="124">
        <v>3.5747720502596098E-4</v>
      </c>
      <c r="S75" s="124">
        <v>4.1533068261784289E-4</v>
      </c>
      <c r="T75" s="124">
        <v>4.5856813723961655E-4</v>
      </c>
      <c r="U75" s="124">
        <v>2.3026384635453989E-4</v>
      </c>
      <c r="V75" s="124">
        <v>3.6897841695773727E-4</v>
      </c>
      <c r="W75" s="124">
        <v>3.6503586714044234E-4</v>
      </c>
      <c r="X75" s="124">
        <v>3.7666691255114186E-4</v>
      </c>
      <c r="Y75" s="124">
        <v>4.4748587480287409E-4</v>
      </c>
      <c r="Z75" s="124">
        <v>4.3399391768466711E-4</v>
      </c>
      <c r="AA75" s="124">
        <v>3.6770777301291176E-4</v>
      </c>
      <c r="AB75" s="124">
        <v>3.9276953167489303E-4</v>
      </c>
      <c r="AC75" s="124">
        <v>3.7818232395137209E-4</v>
      </c>
    </row>
    <row r="76" spans="1:29" ht="15.75" customHeight="1">
      <c r="A76" s="126" t="s">
        <v>446</v>
      </c>
      <c r="B76" s="124">
        <v>0</v>
      </c>
      <c r="C76" s="124">
        <v>0</v>
      </c>
      <c r="D76" s="124">
        <v>0</v>
      </c>
      <c r="E76" s="124">
        <v>0</v>
      </c>
      <c r="F76" s="124">
        <v>0</v>
      </c>
      <c r="G76" s="124">
        <v>0</v>
      </c>
      <c r="H76" s="124">
        <v>0</v>
      </c>
      <c r="I76" s="124">
        <v>0</v>
      </c>
      <c r="J76" s="124">
        <v>0</v>
      </c>
      <c r="K76" s="124">
        <v>0</v>
      </c>
      <c r="L76" s="124">
        <v>0</v>
      </c>
      <c r="M76" s="124">
        <v>0</v>
      </c>
      <c r="N76" s="124">
        <v>3.852578754895256E-5</v>
      </c>
      <c r="O76" s="124">
        <v>4.2711942681729042E-5</v>
      </c>
      <c r="P76" s="124">
        <v>4.3871759591922273E-5</v>
      </c>
      <c r="Q76" s="124">
        <v>3.5602545408912013E-5</v>
      </c>
      <c r="R76" s="124">
        <v>3.9865772829016215E-5</v>
      </c>
      <c r="S76" s="124">
        <v>3.307393985030087E-5</v>
      </c>
      <c r="T76" s="124">
        <v>3.5358458340777871E-5</v>
      </c>
      <c r="U76" s="124">
        <v>3.2119487844443223E-5</v>
      </c>
      <c r="V76" s="124">
        <v>2.7452795253946229E-5</v>
      </c>
      <c r="W76" s="124">
        <v>2.4013612360539377E-5</v>
      </c>
      <c r="X76" s="124">
        <v>2.1855241964440566E-5</v>
      </c>
      <c r="Y76" s="124">
        <v>2.1083735724488363E-5</v>
      </c>
      <c r="Z76" s="124">
        <v>1.750792418855887E-5</v>
      </c>
      <c r="AA76" s="124">
        <v>1.6026262599645722E-5</v>
      </c>
      <c r="AB76" s="124">
        <v>1.586530300459203E-5</v>
      </c>
      <c r="AC76" s="124">
        <v>1.5696597681304107E-5</v>
      </c>
    </row>
    <row r="77" spans="1:29" ht="15.75" customHeight="1">
      <c r="A77" s="126" t="s">
        <v>447</v>
      </c>
      <c r="B77" s="124">
        <v>0</v>
      </c>
      <c r="C77" s="124">
        <v>0</v>
      </c>
      <c r="D77" s="124">
        <v>0</v>
      </c>
      <c r="E77" s="124">
        <v>0</v>
      </c>
      <c r="F77" s="124">
        <v>0</v>
      </c>
      <c r="G77" s="124">
        <v>0</v>
      </c>
      <c r="H77" s="124">
        <v>0</v>
      </c>
      <c r="I77" s="124">
        <v>0</v>
      </c>
      <c r="J77" s="124">
        <v>0</v>
      </c>
      <c r="K77" s="124">
        <v>0</v>
      </c>
      <c r="L77" s="124">
        <v>0</v>
      </c>
      <c r="M77" s="124">
        <v>0</v>
      </c>
      <c r="N77" s="124">
        <v>5.6029833972620494E-4</v>
      </c>
      <c r="O77" s="124">
        <v>3.3882179739585247E-4</v>
      </c>
      <c r="P77" s="124">
        <v>0</v>
      </c>
      <c r="Q77" s="124">
        <v>0</v>
      </c>
      <c r="R77" s="124">
        <v>2.8134043338522808E-4</v>
      </c>
      <c r="S77" s="124">
        <v>2.5956258858616247E-4</v>
      </c>
      <c r="T77" s="124">
        <v>0</v>
      </c>
      <c r="U77" s="124">
        <v>4.6256951298370166E-4</v>
      </c>
      <c r="V77" s="124">
        <v>0</v>
      </c>
      <c r="W77" s="124">
        <v>0</v>
      </c>
      <c r="X77" s="124">
        <v>0</v>
      </c>
      <c r="Y77" s="124">
        <v>1.0282676718600073E-2</v>
      </c>
      <c r="Z77" s="124">
        <v>0</v>
      </c>
      <c r="AA77" s="124">
        <v>1.3881752780064186E-3</v>
      </c>
      <c r="AB77" s="124">
        <v>2.475943462050986E-3</v>
      </c>
      <c r="AC77" s="124">
        <v>1.4745234217990392E-4</v>
      </c>
    </row>
    <row r="78" spans="1:29" ht="15.75" customHeight="1">
      <c r="A78" s="126" t="s">
        <v>448</v>
      </c>
      <c r="B78" s="124">
        <v>0</v>
      </c>
      <c r="C78" s="124">
        <v>0</v>
      </c>
      <c r="D78" s="124">
        <v>0</v>
      </c>
      <c r="E78" s="124">
        <v>0</v>
      </c>
      <c r="F78" s="124">
        <v>0</v>
      </c>
      <c r="G78" s="124">
        <v>0</v>
      </c>
      <c r="H78" s="124">
        <v>0</v>
      </c>
      <c r="I78" s="124">
        <v>0</v>
      </c>
      <c r="J78" s="124">
        <v>0</v>
      </c>
      <c r="K78" s="124">
        <v>0</v>
      </c>
      <c r="L78" s="124">
        <v>0</v>
      </c>
      <c r="M78" s="124">
        <v>0</v>
      </c>
      <c r="N78" s="124">
        <v>5.1159713951454812E-8</v>
      </c>
      <c r="O78" s="124">
        <v>5.2690971185586289E-5</v>
      </c>
      <c r="P78" s="124">
        <v>6.5897024382157923E-5</v>
      </c>
      <c r="Q78" s="124">
        <v>7.0705696509450913E-5</v>
      </c>
      <c r="R78" s="124">
        <v>6.2067479379743001E-5</v>
      </c>
      <c r="S78" s="124">
        <v>6.2060897191838521E-5</v>
      </c>
      <c r="T78" s="124">
        <v>1.3232634392386142E-4</v>
      </c>
      <c r="U78" s="124">
        <v>8.5698593503723088E-5</v>
      </c>
      <c r="V78" s="124">
        <v>8.6786776835499538E-5</v>
      </c>
      <c r="W78" s="124">
        <v>8.7799816629814014E-5</v>
      </c>
      <c r="X78" s="124">
        <v>9.9732363604668238E-5</v>
      </c>
      <c r="Y78" s="124">
        <v>8.4193243830326289E-5</v>
      </c>
      <c r="Z78" s="124">
        <v>6.9995395518632897E-5</v>
      </c>
      <c r="AA78" s="124">
        <v>6.8810719480011932E-5</v>
      </c>
      <c r="AB78" s="124">
        <v>6.5572142382075871E-5</v>
      </c>
      <c r="AC78" s="124">
        <v>6.8502966377654036E-5</v>
      </c>
    </row>
    <row r="79" spans="1:29" ht="15.75" customHeight="1">
      <c r="A79" s="126" t="s">
        <v>449</v>
      </c>
      <c r="B79" s="124">
        <v>0</v>
      </c>
      <c r="C79" s="124">
        <v>0</v>
      </c>
      <c r="D79" s="124">
        <v>1.342261189562848E-3</v>
      </c>
      <c r="E79" s="124">
        <v>1.6736983230873771E-3</v>
      </c>
      <c r="F79" s="124">
        <v>2.0423319454639702E-3</v>
      </c>
      <c r="G79" s="124">
        <v>2.3259107081230689E-3</v>
      </c>
      <c r="H79" s="124">
        <v>2.5891272213257452E-3</v>
      </c>
      <c r="I79" s="124">
        <v>3.8319409966078599E-3</v>
      </c>
      <c r="J79" s="124">
        <v>4.2629378401960443E-3</v>
      </c>
      <c r="K79" s="124">
        <v>4.830501234932701E-3</v>
      </c>
      <c r="L79" s="124">
        <v>5.2171398794019115E-3</v>
      </c>
      <c r="M79" s="124">
        <v>5.156659611036187E-3</v>
      </c>
      <c r="N79" s="124">
        <v>5.6842997882367617E-3</v>
      </c>
      <c r="O79" s="124">
        <v>5.7908865917147079E-3</v>
      </c>
      <c r="P79" s="124">
        <v>5.7663833830326732E-3</v>
      </c>
      <c r="Q79" s="124">
        <v>6.1359898067822258E-3</v>
      </c>
      <c r="R79" s="124">
        <v>6.3664644664827262E-3</v>
      </c>
      <c r="S79" s="124">
        <v>6.6721021203949337E-3</v>
      </c>
      <c r="T79" s="124">
        <v>7.0947083083474759E-3</v>
      </c>
      <c r="U79" s="124">
        <v>7.8142480347748629E-3</v>
      </c>
      <c r="V79" s="124">
        <v>8.1610156645141874E-3</v>
      </c>
      <c r="W79" s="124">
        <v>8.0175479582257018E-3</v>
      </c>
      <c r="X79" s="124">
        <v>8.0832731585106943E-3</v>
      </c>
      <c r="Y79" s="124">
        <v>8.2353327553414315E-3</v>
      </c>
      <c r="Z79" s="124">
        <v>7.5085045888116844E-3</v>
      </c>
      <c r="AA79" s="124">
        <v>7.8203540452285343E-3</v>
      </c>
      <c r="AB79" s="124">
        <v>8.4682735414218398E-3</v>
      </c>
      <c r="AC79" s="124">
        <v>9.4582825555451951E-3</v>
      </c>
    </row>
    <row r="80" spans="1:29" s="130" customFormat="1" ht="15.75" customHeight="1">
      <c r="A80" s="140" t="s">
        <v>450</v>
      </c>
      <c r="B80" s="124">
        <v>0</v>
      </c>
      <c r="C80" s="124">
        <v>0</v>
      </c>
      <c r="D80" s="124">
        <v>0</v>
      </c>
      <c r="E80" s="124">
        <v>0</v>
      </c>
      <c r="F80" s="124">
        <v>0</v>
      </c>
      <c r="G80" s="124">
        <v>0</v>
      </c>
      <c r="H80" s="124">
        <v>0</v>
      </c>
      <c r="I80" s="124">
        <v>0</v>
      </c>
      <c r="J80" s="124">
        <v>0</v>
      </c>
      <c r="K80" s="124">
        <v>0</v>
      </c>
      <c r="L80" s="124">
        <v>0</v>
      </c>
      <c r="M80" s="124">
        <v>0</v>
      </c>
      <c r="N80" s="124">
        <v>0</v>
      </c>
      <c r="O80" s="124">
        <v>6.9042142694054795E-5</v>
      </c>
      <c r="P80" s="124">
        <v>7.5658416559858032E-5</v>
      </c>
      <c r="Q80" s="124">
        <v>6.9759191940096271E-5</v>
      </c>
      <c r="R80" s="124">
        <v>7.8910664949882403E-5</v>
      </c>
      <c r="S80" s="124">
        <v>1.1178558739083695E-4</v>
      </c>
      <c r="T80" s="124">
        <v>1.4941328103064598E-4</v>
      </c>
      <c r="U80" s="124">
        <v>1.6452011529968636E-4</v>
      </c>
      <c r="V80" s="124">
        <v>1.5905316507694689E-4</v>
      </c>
      <c r="W80" s="124">
        <v>1.5473298426980545E-4</v>
      </c>
      <c r="X80" s="124">
        <v>1.6900073945398937E-4</v>
      </c>
      <c r="Y80" s="124">
        <v>1.6902242396971517E-4</v>
      </c>
      <c r="Z80" s="124">
        <v>1.8759626122782233E-4</v>
      </c>
      <c r="AA80" s="124">
        <v>2.2326115760530133E-4</v>
      </c>
      <c r="AB80" s="124">
        <v>3.4534949571258399E-4</v>
      </c>
      <c r="AC80" s="124">
        <v>4.5428251844383639E-4</v>
      </c>
    </row>
    <row r="81" spans="1:29" s="130" customFormat="1" ht="15.75" customHeight="1">
      <c r="A81" s="126" t="s">
        <v>451</v>
      </c>
      <c r="B81" s="124">
        <v>0</v>
      </c>
      <c r="C81" s="124">
        <v>0</v>
      </c>
      <c r="D81" s="124">
        <v>0</v>
      </c>
      <c r="E81" s="124">
        <v>0</v>
      </c>
      <c r="F81" s="124">
        <v>0</v>
      </c>
      <c r="G81" s="124">
        <v>0</v>
      </c>
      <c r="H81" s="124">
        <v>0</v>
      </c>
      <c r="I81" s="124">
        <v>0</v>
      </c>
      <c r="J81" s="124">
        <v>0</v>
      </c>
      <c r="K81" s="124">
        <v>0</v>
      </c>
      <c r="L81" s="124">
        <v>0</v>
      </c>
      <c r="M81" s="124">
        <v>0</v>
      </c>
      <c r="N81" s="124">
        <v>0</v>
      </c>
      <c r="O81" s="124">
        <v>0</v>
      </c>
      <c r="P81" s="124">
        <v>0</v>
      </c>
      <c r="Q81" s="124">
        <v>0</v>
      </c>
      <c r="R81" s="124">
        <v>0</v>
      </c>
      <c r="S81" s="124">
        <v>1.5573755315169749E-4</v>
      </c>
      <c r="T81" s="124">
        <v>2.8259276312406433E-3</v>
      </c>
      <c r="U81" s="124">
        <v>8.9711143708682075E-4</v>
      </c>
      <c r="V81" s="124">
        <v>7.9083001752635685E-4</v>
      </c>
      <c r="W81" s="124">
        <v>7.1813205003248457E-4</v>
      </c>
      <c r="X81" s="124">
        <v>7.1685324463619828E-4</v>
      </c>
      <c r="Y81" s="124">
        <v>4.7061074321399819E-6</v>
      </c>
      <c r="Z81" s="124">
        <v>3.5144863576844098E-6</v>
      </c>
      <c r="AA81" s="124">
        <v>8.6633488354249792E-6</v>
      </c>
      <c r="AB81" s="124">
        <v>9.3497576019953116E-6</v>
      </c>
      <c r="AC81" s="124">
        <v>8.0091055705138625E-6</v>
      </c>
    </row>
    <row r="82" spans="1:29" s="130" customFormat="1" ht="15.75" customHeight="1">
      <c r="A82" s="126" t="s">
        <v>452</v>
      </c>
      <c r="B82" s="124">
        <v>0</v>
      </c>
      <c r="C82" s="124">
        <v>0</v>
      </c>
      <c r="D82" s="124">
        <v>0</v>
      </c>
      <c r="E82" s="124">
        <v>0</v>
      </c>
      <c r="F82" s="124">
        <v>0</v>
      </c>
      <c r="G82" s="124">
        <v>0</v>
      </c>
      <c r="H82" s="124">
        <v>0</v>
      </c>
      <c r="I82" s="124">
        <v>0</v>
      </c>
      <c r="J82" s="124">
        <v>9.8391239860514388E-4</v>
      </c>
      <c r="K82" s="124">
        <v>2.2084520306042527E-3</v>
      </c>
      <c r="L82" s="124">
        <v>2.9218156858305247E-3</v>
      </c>
      <c r="M82" s="124">
        <v>1.5046150451445545E-3</v>
      </c>
      <c r="N82" s="124">
        <v>8.419880102098654E-4</v>
      </c>
      <c r="O82" s="124">
        <v>2.2130463350438332E-3</v>
      </c>
      <c r="P82" s="124">
        <v>1.1509063869215054E-3</v>
      </c>
      <c r="Q82" s="124">
        <v>5.7401473465340123E-4</v>
      </c>
      <c r="R82" s="124">
        <v>1.1970815546284179E-3</v>
      </c>
      <c r="S82" s="124">
        <v>6.9837737187930038E-4</v>
      </c>
      <c r="T82" s="124">
        <v>1.0269369500536072E-3</v>
      </c>
      <c r="U82" s="124">
        <v>6.351997313166119E-4</v>
      </c>
      <c r="V82" s="124">
        <v>1.1923568648435945E-4</v>
      </c>
      <c r="W82" s="124">
        <v>8.1854790522739075E-4</v>
      </c>
      <c r="X82" s="124">
        <v>4.5255842863625273E-4</v>
      </c>
      <c r="Y82" s="124">
        <v>5.6456088230110113E-2</v>
      </c>
      <c r="Z82" s="124">
        <v>1.3001972898837278E-2</v>
      </c>
      <c r="AA82" s="124">
        <v>4.6611778546254597E-3</v>
      </c>
      <c r="AB82" s="124">
        <v>2.5516924729599778E-4</v>
      </c>
      <c r="AC82" s="124">
        <v>2.1861838365133499E-3</v>
      </c>
    </row>
    <row r="83" spans="1:29" s="130" customFormat="1" ht="15.75" customHeight="1">
      <c r="A83" s="126" t="s">
        <v>453</v>
      </c>
      <c r="B83" s="124">
        <v>0</v>
      </c>
      <c r="C83" s="124">
        <v>0</v>
      </c>
      <c r="D83" s="124">
        <v>0</v>
      </c>
      <c r="E83" s="124">
        <v>0</v>
      </c>
      <c r="F83" s="124">
        <v>0</v>
      </c>
      <c r="G83" s="124">
        <v>0</v>
      </c>
      <c r="H83" s="124">
        <v>0</v>
      </c>
      <c r="I83" s="124">
        <v>0</v>
      </c>
      <c r="J83" s="124">
        <v>0</v>
      </c>
      <c r="K83" s="124">
        <v>0</v>
      </c>
      <c r="L83" s="124">
        <v>0</v>
      </c>
      <c r="M83" s="124">
        <v>0</v>
      </c>
      <c r="N83" s="124">
        <v>0</v>
      </c>
      <c r="O83" s="124">
        <v>0</v>
      </c>
      <c r="P83" s="124">
        <v>0</v>
      </c>
      <c r="Q83" s="124">
        <v>3.7177346329534354E-4</v>
      </c>
      <c r="R83" s="124">
        <v>1.6917412892089396E-3</v>
      </c>
      <c r="S83" s="124">
        <v>3.1237492502194011E-3</v>
      </c>
      <c r="T83" s="124">
        <v>4.2374710252265097E-3</v>
      </c>
      <c r="U83" s="124">
        <v>2.8062513236107888E-3</v>
      </c>
      <c r="V83" s="124">
        <v>2.1109094721439292E-3</v>
      </c>
      <c r="W83" s="124">
        <v>1.9323625838209215E-3</v>
      </c>
      <c r="X83" s="124">
        <v>1.3797197533450577E-3</v>
      </c>
      <c r="Y83" s="124">
        <v>1.2362297240298204E-3</v>
      </c>
      <c r="Z83" s="124">
        <v>8.068337139580477E-4</v>
      </c>
      <c r="AA83" s="124">
        <v>3.0716163807082471E-4</v>
      </c>
      <c r="AB83" s="124">
        <v>0</v>
      </c>
      <c r="AC83" s="124">
        <v>0</v>
      </c>
    </row>
    <row r="84" spans="1:29" ht="15.75" customHeight="1">
      <c r="A84" s="126" t="s">
        <v>454</v>
      </c>
      <c r="B84" s="124">
        <v>0</v>
      </c>
      <c r="C84" s="124">
        <v>0</v>
      </c>
      <c r="D84" s="124">
        <v>2.5207021169695431E-4</v>
      </c>
      <c r="E84" s="124">
        <v>2.1332054139048208E-4</v>
      </c>
      <c r="F84" s="124">
        <v>2.0363207628670715E-4</v>
      </c>
      <c r="G84" s="124">
        <v>1.4559802504955074E-4</v>
      </c>
      <c r="H84" s="124">
        <v>1.6082883521843539E-4</v>
      </c>
      <c r="I84" s="124">
        <v>1.6532516420215331E-4</v>
      </c>
      <c r="J84" s="124">
        <v>1.5905430319674906E-4</v>
      </c>
      <c r="K84" s="124">
        <v>1.6050468798388902E-4</v>
      </c>
      <c r="L84" s="124">
        <v>1.8668607497679182E-4</v>
      </c>
      <c r="M84" s="124">
        <v>1.9290902007647876E-4</v>
      </c>
      <c r="N84" s="124">
        <v>2.6552997286224554E-4</v>
      </c>
      <c r="O84" s="124">
        <v>2.109978842564892E-4</v>
      </c>
      <c r="P84" s="124">
        <v>2.1366459444382299E-4</v>
      </c>
      <c r="Q84" s="124">
        <v>2.084584173076528E-4</v>
      </c>
      <c r="R84" s="124">
        <v>2.7035596084431764E-4</v>
      </c>
      <c r="S84" s="124">
        <v>9.1277012173176638E-5</v>
      </c>
      <c r="T84" s="124">
        <v>1.2270796730163774E-4</v>
      </c>
      <c r="U84" s="124">
        <v>1.2322179284745906E-4</v>
      </c>
      <c r="V84" s="124">
        <v>1.300426045184902E-4</v>
      </c>
      <c r="W84" s="124">
        <v>1.242442596034615E-4</v>
      </c>
      <c r="X84" s="124">
        <v>1.2604102363172466E-4</v>
      </c>
      <c r="Y84" s="124">
        <v>1.3767052343911589E-4</v>
      </c>
      <c r="Z84" s="124">
        <v>1.108718946172099E-4</v>
      </c>
      <c r="AA84" s="124">
        <v>9.9256013404368828E-5</v>
      </c>
      <c r="AB84" s="124">
        <v>1.0106589594255456E-4</v>
      </c>
      <c r="AC84" s="124">
        <v>1.0258205373058639E-4</v>
      </c>
    </row>
    <row r="85" spans="1:29" ht="15.75" customHeight="1">
      <c r="A85" s="126" t="s">
        <v>455</v>
      </c>
      <c r="B85" s="124">
        <v>0</v>
      </c>
      <c r="C85" s="124">
        <v>0</v>
      </c>
      <c r="D85" s="124">
        <v>6.2062557546332399E-4</v>
      </c>
      <c r="E85" s="124">
        <v>4.2168276503031963E-4</v>
      </c>
      <c r="F85" s="124">
        <v>3.4348425148104564E-4</v>
      </c>
      <c r="G85" s="124">
        <v>2.8974925430437878E-4</v>
      </c>
      <c r="H85" s="124">
        <v>1.9553491851053283E-4</v>
      </c>
      <c r="I85" s="124">
        <v>2.477299218556403E-4</v>
      </c>
      <c r="J85" s="124">
        <v>2.000855402747734E-4</v>
      </c>
      <c r="K85" s="124">
        <v>1.3291944430825076E-4</v>
      </c>
      <c r="L85" s="124">
        <v>7.4206748047293076E-4</v>
      </c>
      <c r="M85" s="124">
        <v>1.0207538835127956E-3</v>
      </c>
      <c r="N85" s="124">
        <v>1.521200507452365E-3</v>
      </c>
      <c r="O85" s="124">
        <v>1.377643045099504E-3</v>
      </c>
      <c r="P85" s="124">
        <v>2.1316490306585987E-3</v>
      </c>
      <c r="Q85" s="124">
        <v>2.1542523812271863E-3</v>
      </c>
      <c r="R85" s="124">
        <v>1.7390930610267793E-3</v>
      </c>
      <c r="S85" s="124">
        <v>1.8791444935689649E-3</v>
      </c>
      <c r="T85" s="124">
        <v>2.2161807533100418E-3</v>
      </c>
      <c r="U85" s="124">
        <v>2.1812301891641623E-3</v>
      </c>
      <c r="V85" s="124">
        <v>1.9848094539656963E-3</v>
      </c>
      <c r="W85" s="124">
        <v>1.972360993089704E-3</v>
      </c>
      <c r="X85" s="124">
        <v>2.1115881932942384E-3</v>
      </c>
      <c r="Y85" s="124">
        <v>1.9716596577853819E-3</v>
      </c>
      <c r="Z85" s="124">
        <v>2.4448579764044273E-3</v>
      </c>
      <c r="AA85" s="124">
        <v>3.2621621577268605E-3</v>
      </c>
      <c r="AB85" s="124">
        <v>3.4256275559002894E-3</v>
      </c>
      <c r="AC85" s="124">
        <v>4.0481369788332193E-3</v>
      </c>
    </row>
    <row r="86" spans="1:29" ht="15.75" customHeight="1">
      <c r="A86" s="126" t="s">
        <v>456</v>
      </c>
      <c r="B86" s="124">
        <v>0</v>
      </c>
      <c r="C86" s="124">
        <v>0</v>
      </c>
      <c r="D86" s="124">
        <v>0</v>
      </c>
      <c r="E86" s="124">
        <v>0</v>
      </c>
      <c r="F86" s="124">
        <v>0</v>
      </c>
      <c r="G86" s="124">
        <v>0</v>
      </c>
      <c r="H86" s="124">
        <v>0</v>
      </c>
      <c r="I86" s="124">
        <v>0</v>
      </c>
      <c r="J86" s="124">
        <v>1.7764198137531961E-4</v>
      </c>
      <c r="K86" s="124">
        <v>1.6700651219693193E-4</v>
      </c>
      <c r="L86" s="124">
        <v>1.6893160656446509E-4</v>
      </c>
      <c r="M86" s="124">
        <v>1.5241446042815355E-4</v>
      </c>
      <c r="N86" s="124">
        <v>1.5824810655179356E-4</v>
      </c>
      <c r="O86" s="124">
        <v>1.4031184703177784E-4</v>
      </c>
      <c r="P86" s="124">
        <v>1.552988737918014E-4</v>
      </c>
      <c r="Q86" s="124">
        <v>1.7980222572791172E-4</v>
      </c>
      <c r="R86" s="124">
        <v>2.0992635468293684E-4</v>
      </c>
      <c r="S86" s="124">
        <v>2.1059631896092428E-4</v>
      </c>
      <c r="T86" s="124">
        <v>1.1774582899146126E-3</v>
      </c>
      <c r="U86" s="124">
        <v>1.8729559042636449E-4</v>
      </c>
      <c r="V86" s="124">
        <v>2.2140366443945103E-4</v>
      </c>
      <c r="W86" s="124">
        <v>2.2812521762116518E-4</v>
      </c>
      <c r="X86" s="124">
        <v>2.3348290992914454E-4</v>
      </c>
      <c r="Y86" s="124">
        <v>2.5884120629528115E-4</v>
      </c>
      <c r="Z86" s="124">
        <v>2.3832154341781614E-4</v>
      </c>
      <c r="AA86" s="124">
        <v>2.3935010317882707E-4</v>
      </c>
      <c r="AB86" s="124">
        <v>3.9136931510628392E-4</v>
      </c>
      <c r="AC86" s="124">
        <v>4.1069437507995583E-4</v>
      </c>
    </row>
    <row r="87" spans="1:29" ht="15.75" customHeight="1">
      <c r="A87" s="126" t="s">
        <v>457</v>
      </c>
      <c r="B87" s="124">
        <v>0</v>
      </c>
      <c r="C87" s="124">
        <v>0</v>
      </c>
      <c r="D87" s="124">
        <v>0</v>
      </c>
      <c r="E87" s="124">
        <v>0</v>
      </c>
      <c r="F87" s="124">
        <v>0</v>
      </c>
      <c r="G87" s="124">
        <v>0</v>
      </c>
      <c r="H87" s="124">
        <v>0</v>
      </c>
      <c r="I87" s="124">
        <v>0</v>
      </c>
      <c r="J87" s="124">
        <v>0</v>
      </c>
      <c r="K87" s="124">
        <v>0</v>
      </c>
      <c r="L87" s="124">
        <v>0</v>
      </c>
      <c r="M87" s="124">
        <v>1.8124621168617162E-3</v>
      </c>
      <c r="N87" s="124">
        <v>1.6493745788703738E-3</v>
      </c>
      <c r="O87" s="124">
        <v>1.7151421993299885E-3</v>
      </c>
      <c r="P87" s="124">
        <v>1.599934947537482E-3</v>
      </c>
      <c r="Q87" s="124">
        <v>1.7150457618296385E-3</v>
      </c>
      <c r="R87" s="124">
        <v>1.6247655526353069E-3</v>
      </c>
      <c r="S87" s="124">
        <v>1.8043971778632728E-3</v>
      </c>
      <c r="T87" s="124">
        <v>1.9657510546969093E-3</v>
      </c>
      <c r="U87" s="124">
        <v>2.0742551423697559E-3</v>
      </c>
      <c r="V87" s="124">
        <v>1.8313615091694936E-3</v>
      </c>
      <c r="W87" s="124">
        <v>1.9089097350429626E-3</v>
      </c>
      <c r="X87" s="124">
        <v>1.6595029098993212E-3</v>
      </c>
      <c r="Y87" s="124">
        <v>1.467432620655866E-3</v>
      </c>
      <c r="Z87" s="124">
        <v>1.2218195757439506E-3</v>
      </c>
      <c r="AA87" s="124">
        <v>1.488276641788702E-3</v>
      </c>
      <c r="AB87" s="124">
        <v>1.5872014866909168E-3</v>
      </c>
      <c r="AC87" s="124">
        <v>1.6650740844489833E-3</v>
      </c>
    </row>
    <row r="88" spans="1:29" ht="15.75" customHeight="1">
      <c r="A88" s="126" t="s">
        <v>458</v>
      </c>
      <c r="B88" s="124">
        <v>1.7159912996492343E-3</v>
      </c>
      <c r="C88" s="124">
        <v>2.2498110879981162E-3</v>
      </c>
      <c r="D88" s="124">
        <v>4.0487898955282675E-3</v>
      </c>
      <c r="E88" s="124">
        <v>3.1824530312320599E-3</v>
      </c>
      <c r="F88" s="124">
        <v>2.7225274950560172E-3</v>
      </c>
      <c r="G88" s="124">
        <v>2.6549319025568519E-3</v>
      </c>
      <c r="H88" s="124">
        <v>2.2701470367277599E-3</v>
      </c>
      <c r="I88" s="124">
        <v>2.1942511368078276E-3</v>
      </c>
      <c r="J88" s="124">
        <v>2.191759669810266E-3</v>
      </c>
      <c r="K88" s="124">
        <v>1.802612203066375E-3</v>
      </c>
      <c r="L88" s="124">
        <v>1.4292063267220116E-3</v>
      </c>
      <c r="M88" s="124">
        <v>1.6773137296170397E-3</v>
      </c>
      <c r="N88" s="124">
        <v>1.1701031954326393E-3</v>
      </c>
      <c r="O88" s="124">
        <v>1.0036421918216932E-3</v>
      </c>
      <c r="P88" s="124">
        <v>8.9114707082935736E-4</v>
      </c>
      <c r="Q88" s="124">
        <v>8.1000922170493836E-4</v>
      </c>
      <c r="R88" s="124">
        <v>3.6574256340079651E-4</v>
      </c>
      <c r="S88" s="124">
        <v>6.7486273032402253E-4</v>
      </c>
      <c r="T88" s="124">
        <v>6.504567290629283E-4</v>
      </c>
      <c r="U88" s="124">
        <v>9.3435307038554924E-4</v>
      </c>
      <c r="V88" s="124">
        <v>5.8620123090788977E-4</v>
      </c>
      <c r="W88" s="124">
        <v>2.7269582379277411E-4</v>
      </c>
      <c r="X88" s="124">
        <v>0</v>
      </c>
      <c r="Y88" s="124">
        <v>4.0990409741330154E-4</v>
      </c>
      <c r="Z88" s="124">
        <v>5.3887503288958122E-4</v>
      </c>
      <c r="AA88" s="124">
        <v>3.956409499997966E-4</v>
      </c>
      <c r="AB88" s="124">
        <v>3.6432341750351207E-4</v>
      </c>
      <c r="AC88" s="124">
        <v>3.3934966127974631E-4</v>
      </c>
    </row>
    <row r="89" spans="1:29" ht="15.75" customHeight="1">
      <c r="A89" s="126" t="s">
        <v>459</v>
      </c>
      <c r="B89" s="124">
        <v>0</v>
      </c>
      <c r="C89" s="124">
        <v>0</v>
      </c>
      <c r="D89" s="124">
        <v>0</v>
      </c>
      <c r="E89" s="124">
        <v>0</v>
      </c>
      <c r="F89" s="124">
        <v>0</v>
      </c>
      <c r="G89" s="124">
        <v>0</v>
      </c>
      <c r="H89" s="124">
        <v>0</v>
      </c>
      <c r="I89" s="124">
        <v>0</v>
      </c>
      <c r="J89" s="124">
        <v>3.2799338579998636E-4</v>
      </c>
      <c r="K89" s="124">
        <v>4.2016517402937176E-4</v>
      </c>
      <c r="L89" s="124">
        <v>4.4911692026920974E-4</v>
      </c>
      <c r="M89" s="124">
        <v>4.9083674351734061E-4</v>
      </c>
      <c r="N89" s="124">
        <v>5.2215864686227294E-4</v>
      </c>
      <c r="O89" s="124">
        <v>5.3903542077646076E-4</v>
      </c>
      <c r="P89" s="124">
        <v>5.171727237123343E-4</v>
      </c>
      <c r="Q89" s="124">
        <v>5.9698264531943561E-4</v>
      </c>
      <c r="R89" s="124">
        <v>6.3157445015960901E-4</v>
      </c>
      <c r="S89" s="124">
        <v>8.4011112673053074E-4</v>
      </c>
      <c r="T89" s="124">
        <v>1.647630681335236E-3</v>
      </c>
      <c r="U89" s="124">
        <v>1.6211252820224735E-3</v>
      </c>
      <c r="V89" s="124">
        <v>1.6189143541606773E-3</v>
      </c>
      <c r="W89" s="124">
        <v>1.9818189014229335E-3</v>
      </c>
      <c r="X89" s="124">
        <v>2.094602983649249E-3</v>
      </c>
      <c r="Y89" s="124">
        <v>3.0062909021185882E-3</v>
      </c>
      <c r="Z89" s="124">
        <v>2.0820062709464324E-3</v>
      </c>
      <c r="AA89" s="124">
        <v>1.7211944576280016E-3</v>
      </c>
      <c r="AB89" s="124">
        <v>6.5282761808823191E-3</v>
      </c>
      <c r="AC89" s="124">
        <v>2.9188096919259198E-3</v>
      </c>
    </row>
    <row r="90" spans="1:29" ht="15.75" customHeight="1">
      <c r="A90" s="126" t="s">
        <v>460</v>
      </c>
      <c r="B90" s="124">
        <v>1.8629897655282723E-3</v>
      </c>
      <c r="C90" s="124">
        <v>2.0705968675643559E-3</v>
      </c>
      <c r="D90" s="124">
        <v>1.7184727102202287E-3</v>
      </c>
      <c r="E90" s="124">
        <v>2.4340683156310623E-3</v>
      </c>
      <c r="F90" s="124">
        <v>2.6954134048588771E-3</v>
      </c>
      <c r="G90" s="124">
        <v>1.3976230293754506E-3</v>
      </c>
      <c r="H90" s="124">
        <v>2.9895477022789251E-3</v>
      </c>
      <c r="I90" s="124">
        <v>2.2340748238645802E-3</v>
      </c>
      <c r="J90" s="124">
        <v>4.454619139270065E-3</v>
      </c>
      <c r="K90" s="124">
        <v>3.2579386865610217E-3</v>
      </c>
      <c r="L90" s="124">
        <v>2.861154162544862E-3</v>
      </c>
      <c r="M90" s="124">
        <v>1.0733070573810688E-3</v>
      </c>
      <c r="N90" s="124">
        <v>7.9769440561552787E-4</v>
      </c>
      <c r="O90" s="124">
        <v>1.2204048302872036E-3</v>
      </c>
      <c r="P90" s="124">
        <v>1.5350737377528962E-3</v>
      </c>
      <c r="Q90" s="124">
        <v>1.5778530007135821E-3</v>
      </c>
      <c r="R90" s="124">
        <v>1.1158496912112659E-3</v>
      </c>
      <c r="S90" s="124">
        <v>7.5199098813116122E-4</v>
      </c>
      <c r="T90" s="124">
        <v>8.9456208874311889E-3</v>
      </c>
      <c r="U90" s="124">
        <v>3.8435687004646111E-3</v>
      </c>
      <c r="V90" s="124">
        <v>2.8160309661827733E-3</v>
      </c>
      <c r="W90" s="124">
        <v>2.2446381967937759E-3</v>
      </c>
      <c r="X90" s="124">
        <v>1.5288057990277648E-3</v>
      </c>
      <c r="Y90" s="124">
        <v>2.7684952941576055E-3</v>
      </c>
      <c r="Z90" s="124">
        <v>8.2875354369837842E-4</v>
      </c>
      <c r="AA90" s="124">
        <v>1.5203236344603366E-3</v>
      </c>
      <c r="AB90" s="124">
        <v>1.9797521992860252E-3</v>
      </c>
      <c r="AC90" s="124">
        <v>1.5197581575148078E-3</v>
      </c>
    </row>
    <row r="91" spans="1:29" ht="15.75" customHeight="1">
      <c r="A91" s="139" t="s">
        <v>461</v>
      </c>
      <c r="B91" s="124">
        <v>1.8629897655282723E-3</v>
      </c>
      <c r="C91" s="124">
        <v>2.0705968675643559E-3</v>
      </c>
      <c r="D91" s="124">
        <v>1.7184727102202287E-3</v>
      </c>
      <c r="E91" s="124">
        <v>2.4340683156310623E-3</v>
      </c>
      <c r="F91" s="124">
        <v>2.6954134048588771E-3</v>
      </c>
      <c r="G91" s="124">
        <v>1.3976230293754502E-3</v>
      </c>
      <c r="H91" s="124">
        <v>2.9720850327731945E-3</v>
      </c>
      <c r="I91" s="124">
        <v>2.203032036186756E-3</v>
      </c>
      <c r="J91" s="124">
        <v>4.0794774909047992E-3</v>
      </c>
      <c r="K91" s="124">
        <v>3.0605258656834214E-3</v>
      </c>
      <c r="L91" s="124">
        <v>2.8683013588035552E-3</v>
      </c>
      <c r="M91" s="124">
        <v>1.0630492105006672E-3</v>
      </c>
      <c r="N91" s="124">
        <v>7.0711392847524937E-4</v>
      </c>
      <c r="O91" s="124">
        <v>1.2293528153909559E-3</v>
      </c>
      <c r="P91" s="124">
        <v>1.5393591025817952E-3</v>
      </c>
      <c r="Q91" s="124">
        <v>1.4501309979436238E-3</v>
      </c>
      <c r="R91" s="124">
        <v>1.0468420065519281E-3</v>
      </c>
      <c r="S91" s="124">
        <v>7.6641361697238472E-4</v>
      </c>
      <c r="T91" s="124">
        <v>8.7896653468353212E-3</v>
      </c>
      <c r="U91" s="124">
        <v>3.6574233426994252E-3</v>
      </c>
      <c r="V91" s="124">
        <v>2.7415969226075696E-3</v>
      </c>
      <c r="W91" s="124">
        <v>2.2308881252416082E-3</v>
      </c>
      <c r="X91" s="124">
        <v>1.4962462826695088E-3</v>
      </c>
      <c r="Y91" s="124">
        <v>9.6206727478682756E-4</v>
      </c>
      <c r="Z91" s="124">
        <v>9.8124481828538697E-4</v>
      </c>
      <c r="AA91" s="124">
        <v>1.4044237252367111E-3</v>
      </c>
      <c r="AB91" s="124">
        <v>1.35389203301191E-3</v>
      </c>
      <c r="AC91" s="124">
        <v>9.9498721391170662E-4</v>
      </c>
    </row>
    <row r="92" spans="1:29" ht="15.75" customHeight="1">
      <c r="A92" s="141" t="s">
        <v>462</v>
      </c>
      <c r="B92" s="124">
        <v>2.0848016761454709E-4</v>
      </c>
      <c r="C92" s="124">
        <v>2.5812170862302727E-4</v>
      </c>
      <c r="D92" s="124">
        <v>1.4570452289464891E-4</v>
      </c>
      <c r="E92" s="124">
        <v>1.0284927510470489E-4</v>
      </c>
      <c r="F92" s="124">
        <v>1.3740884041169851E-4</v>
      </c>
      <c r="G92" s="124">
        <v>1.2523993782453895E-4</v>
      </c>
      <c r="H92" s="124">
        <v>2.0735248383852703E-4</v>
      </c>
      <c r="I92" s="124">
        <v>5.6885224875674622E-5</v>
      </c>
      <c r="J92" s="124">
        <v>9.4087528650911061E-5</v>
      </c>
      <c r="K92" s="124">
        <v>1.4175876815124828E-4</v>
      </c>
      <c r="L92" s="124">
        <v>3.5168623609512563E-4</v>
      </c>
      <c r="M92" s="124">
        <v>1.4346719360638137E-4</v>
      </c>
      <c r="N92" s="124">
        <v>5.9393446060660555E-5</v>
      </c>
      <c r="O92" s="124">
        <v>1.2579999693259285E-4</v>
      </c>
      <c r="P92" s="124">
        <v>2.0961634631543936E-4</v>
      </c>
      <c r="Q92" s="124">
        <v>2.7345426091849879E-4</v>
      </c>
      <c r="R92" s="124">
        <v>2.3660631697205568E-5</v>
      </c>
      <c r="S92" s="124">
        <v>1.1084175879939627E-4</v>
      </c>
      <c r="T92" s="124">
        <v>8.6350102470390247E-4</v>
      </c>
      <c r="U92" s="124">
        <v>2.9030870172507082E-4</v>
      </c>
      <c r="V92" s="124">
        <v>3.0963539289802878E-4</v>
      </c>
      <c r="W92" s="124">
        <v>1.6301041738699755E-4</v>
      </c>
      <c r="X92" s="124">
        <v>1.5483837360098955E-4</v>
      </c>
      <c r="Y92" s="124">
        <v>8.6400194898658694E-5</v>
      </c>
      <c r="Z92" s="124">
        <v>9.1083172371803729E-5</v>
      </c>
      <c r="AA92" s="124">
        <v>2.1914217176959754E-4</v>
      </c>
      <c r="AB92" s="124">
        <v>1.4347599647709686E-4</v>
      </c>
      <c r="AC92" s="124">
        <v>5.0198357646188933E-5</v>
      </c>
    </row>
    <row r="93" spans="1:29" ht="18">
      <c r="A93" s="141" t="s">
        <v>463</v>
      </c>
      <c r="B93" s="124">
        <v>0</v>
      </c>
      <c r="C93" s="124">
        <v>0</v>
      </c>
      <c r="D93" s="124">
        <v>1.2560021816466788E-5</v>
      </c>
      <c r="E93" s="124">
        <v>1.073753367404428E-5</v>
      </c>
      <c r="F93" s="124">
        <v>6.6956807510162958E-5</v>
      </c>
      <c r="G93" s="124">
        <v>9.9139080811314143E-5</v>
      </c>
      <c r="H93" s="124">
        <v>1.5086888391506144E-4</v>
      </c>
      <c r="I93" s="124">
        <v>1.7731118437398644E-4</v>
      </c>
      <c r="J93" s="124">
        <v>1.2325757903531749E-4</v>
      </c>
      <c r="K93" s="124">
        <v>2.0125662596031163E-4</v>
      </c>
      <c r="L93" s="124">
        <v>1.0106298461223871E-5</v>
      </c>
      <c r="M93" s="124">
        <v>9.1223995245260571E-6</v>
      </c>
      <c r="N93" s="124">
        <v>-2.6090384277889311E-5</v>
      </c>
      <c r="O93" s="124">
        <v>-8.7111332487927484E-8</v>
      </c>
      <c r="P93" s="124">
        <v>5.3914588787698311E-6</v>
      </c>
      <c r="Q93" s="124">
        <v>1.3611399715660833E-5</v>
      </c>
      <c r="R93" s="124">
        <v>6.2293629577287962E-5</v>
      </c>
      <c r="S93" s="124">
        <v>1.2252296659947696E-5</v>
      </c>
      <c r="T93" s="124">
        <v>4.1685866939804447E-4</v>
      </c>
      <c r="U93" s="124">
        <v>4.7357538743830752E-4</v>
      </c>
      <c r="V93" s="124">
        <v>3.3035539950454956E-4</v>
      </c>
      <c r="W93" s="124">
        <v>2.2531734667020927E-4</v>
      </c>
      <c r="X93" s="124">
        <v>2.1271154510676469E-4</v>
      </c>
      <c r="Y93" s="124">
        <v>1.0980207254822737E-4</v>
      </c>
      <c r="Z93" s="124">
        <v>2.5956901610135828E-4</v>
      </c>
      <c r="AA93" s="124">
        <v>4.335522284537438E-4</v>
      </c>
      <c r="AB93" s="124">
        <v>3.1753507027072584E-4</v>
      </c>
      <c r="AC93" s="124">
        <v>2.3421061299560604E-4</v>
      </c>
    </row>
    <row r="94" spans="1:29" ht="15.75" customHeight="1">
      <c r="A94" s="141" t="s">
        <v>464</v>
      </c>
      <c r="B94" s="124">
        <v>8.2825140737863648E-4</v>
      </c>
      <c r="C94" s="124">
        <v>4.9834558398205821E-4</v>
      </c>
      <c r="D94" s="124">
        <v>2.5910715693192255E-4</v>
      </c>
      <c r="E94" s="124">
        <v>3.8803397430955115E-4</v>
      </c>
      <c r="F94" s="124">
        <v>2.6716207354964911E-4</v>
      </c>
      <c r="G94" s="124">
        <v>-2.9812382648505863E-4</v>
      </c>
      <c r="H94" s="124">
        <v>2.3055362401286264E-4</v>
      </c>
      <c r="I94" s="124">
        <v>1.2104866359468937E-4</v>
      </c>
      <c r="J94" s="124">
        <v>5.0583244906522457E-4</v>
      </c>
      <c r="K94" s="124">
        <v>4.8117539879299155E-4</v>
      </c>
      <c r="L94" s="124">
        <v>3.9984883263347894E-4</v>
      </c>
      <c r="M94" s="124">
        <v>2.5293796514485527E-4</v>
      </c>
      <c r="N94" s="124">
        <v>1.0046521397609435E-3</v>
      </c>
      <c r="O94" s="124">
        <v>6.5965539715475872E-4</v>
      </c>
      <c r="P94" s="124">
        <v>1.0628905484382856E-4</v>
      </c>
      <c r="Q94" s="124">
        <v>1.1396638338809333E-4</v>
      </c>
      <c r="R94" s="124">
        <v>5.1615165565890594E-5</v>
      </c>
      <c r="S94" s="124">
        <v>1.5772459899373551E-4</v>
      </c>
      <c r="T94" s="124">
        <v>1.6227396108374324E-4</v>
      </c>
      <c r="U94" s="124">
        <v>3.8223391783745247E-5</v>
      </c>
      <c r="V94" s="124">
        <v>5.2437428813100791E-5</v>
      </c>
      <c r="W94" s="124">
        <v>1.3562948075066767E-4</v>
      </c>
      <c r="X94" s="124">
        <v>4.0235753870380384E-5</v>
      </c>
      <c r="Y94" s="124">
        <v>2.1262301417244128E-5</v>
      </c>
      <c r="Z94" s="124">
        <v>1.624430673547123E-5</v>
      </c>
      <c r="AA94" s="124">
        <v>1.0556025410003313E-5</v>
      </c>
      <c r="AB94" s="124">
        <v>1.0380127421477436E-5</v>
      </c>
      <c r="AC94" s="124">
        <v>1.5631043405612451E-5</v>
      </c>
    </row>
    <row r="95" spans="1:29" ht="15.75" customHeight="1">
      <c r="A95" s="142" t="s">
        <v>465</v>
      </c>
      <c r="B95" s="124">
        <v>2.449354776842338E-4</v>
      </c>
      <c r="C95" s="124">
        <v>2.8353613654298746E-5</v>
      </c>
      <c r="D95" s="124">
        <v>9.0066943364066075E-6</v>
      </c>
      <c r="E95" s="124">
        <v>2.6271130936008612E-6</v>
      </c>
      <c r="F95" s="124">
        <v>2.0144944822988875E-6</v>
      </c>
      <c r="G95" s="124">
        <v>9.0332771612619805E-6</v>
      </c>
      <c r="H95" s="124">
        <v>9.5681225920206572E-6</v>
      </c>
      <c r="I95" s="124">
        <v>2.7639080360020598E-6</v>
      </c>
      <c r="J95" s="124">
        <v>3.089481220040812E-6</v>
      </c>
      <c r="K95" s="124">
        <v>1.3648807599597432E-6</v>
      </c>
      <c r="L95" s="124">
        <v>1.1364485231605838E-5</v>
      </c>
      <c r="M95" s="124">
        <v>2.4985579336553569E-6</v>
      </c>
      <c r="N95" s="124">
        <v>3.4524932872792891E-6</v>
      </c>
      <c r="O95" s="124">
        <v>2.2821956063561836E-5</v>
      </c>
      <c r="P95" s="124">
        <v>1.7529507566424408E-5</v>
      </c>
      <c r="Q95" s="124">
        <v>3.6077070614773455E-5</v>
      </c>
      <c r="R95" s="124">
        <v>1.605900526012618E-5</v>
      </c>
      <c r="S95" s="124">
        <v>1.3186126414228786E-6</v>
      </c>
      <c r="T95" s="124">
        <v>5.0194233958567567E-5</v>
      </c>
      <c r="U95" s="124">
        <v>1.2951364924831296E-5</v>
      </c>
      <c r="V95" s="124">
        <v>1.1244326763235937E-5</v>
      </c>
      <c r="W95" s="124">
        <v>7.646890265460875E-6</v>
      </c>
      <c r="X95" s="124">
        <v>3.2434500987698369E-6</v>
      </c>
      <c r="Y95" s="124">
        <v>3.2094092325982502E-6</v>
      </c>
      <c r="Z95" s="124">
        <v>9.4785129336379841E-7</v>
      </c>
      <c r="AA95" s="124">
        <v>1.8862810490022813E-6</v>
      </c>
      <c r="AB95" s="124">
        <v>3.6716698339806561E-7</v>
      </c>
      <c r="AC95" s="124">
        <v>1.263156599624552E-7</v>
      </c>
    </row>
    <row r="96" spans="1:29" ht="15.75" customHeight="1">
      <c r="A96" s="142" t="s">
        <v>466</v>
      </c>
      <c r="B96" s="124">
        <v>5.8331592969440246E-4</v>
      </c>
      <c r="C96" s="124">
        <v>2.8817384972928652E-4</v>
      </c>
      <c r="D96" s="124">
        <v>1.7771076771806469E-4</v>
      </c>
      <c r="E96" s="124">
        <v>3.1619441121206885E-4</v>
      </c>
      <c r="F96" s="124">
        <v>1.7360315897190033E-4</v>
      </c>
      <c r="G96" s="124">
        <v>-3.8633548721426743E-4</v>
      </c>
      <c r="H96" s="124">
        <v>2.0598514338743547E-4</v>
      </c>
      <c r="I96" s="124">
        <v>1.1082154103313491E-4</v>
      </c>
      <c r="J96" s="124">
        <v>3.9403365977072201E-4</v>
      </c>
      <c r="K96" s="124">
        <v>1.0374701971807762E-4</v>
      </c>
      <c r="L96" s="124">
        <v>-4.5709830010577195E-5</v>
      </c>
      <c r="M96" s="124">
        <v>-5.0517374491734407E-5</v>
      </c>
      <c r="N96" s="124">
        <v>7.2348126036425684E-4</v>
      </c>
      <c r="O96" s="124">
        <v>2.8709810381284743E-4</v>
      </c>
      <c r="P96" s="124">
        <v>-1.0075170974214183E-4</v>
      </c>
      <c r="Q96" s="124">
        <v>-1.3762890174179091E-5</v>
      </c>
      <c r="R96" s="124">
        <v>6.9830744493565713E-6</v>
      </c>
      <c r="S96" s="124">
        <v>7.8546494871878193E-5</v>
      </c>
      <c r="T96" s="124">
        <v>2.6191667994071265E-5</v>
      </c>
      <c r="U96" s="124">
        <v>1.7301880273068338E-5</v>
      </c>
      <c r="V96" s="124">
        <v>1.6503728478625937E-5</v>
      </c>
      <c r="W96" s="124">
        <v>6.737547759349566E-5</v>
      </c>
      <c r="X96" s="124">
        <v>2.84258267725313E-5</v>
      </c>
      <c r="Y96" s="124">
        <v>1.7955440863643741E-5</v>
      </c>
      <c r="Z96" s="124">
        <v>1.5296455442107429E-5</v>
      </c>
      <c r="AA96" s="124">
        <v>8.6697443610010322E-6</v>
      </c>
      <c r="AB96" s="124">
        <v>1.0012960438079372E-5</v>
      </c>
      <c r="AC96" s="124">
        <v>1.5504727745649993E-5</v>
      </c>
    </row>
    <row r="97" spans="1:29" ht="15.75" customHeight="1">
      <c r="A97" s="142" t="s">
        <v>467</v>
      </c>
      <c r="B97" s="124">
        <v>0</v>
      </c>
      <c r="C97" s="124">
        <v>1.8181812059847298E-4</v>
      </c>
      <c r="D97" s="124">
        <v>7.2389694877451316E-5</v>
      </c>
      <c r="E97" s="124">
        <v>6.9212450003881476E-5</v>
      </c>
      <c r="F97" s="124">
        <v>9.154442009544998E-5</v>
      </c>
      <c r="G97" s="124">
        <v>7.917838356794682E-5</v>
      </c>
      <c r="H97" s="124">
        <v>1.500035803340652E-5</v>
      </c>
      <c r="I97" s="124">
        <v>7.4632145255523951E-6</v>
      </c>
      <c r="J97" s="124">
        <v>1.0870930807446174E-4</v>
      </c>
      <c r="K97" s="124">
        <v>3.7606349831495429E-4</v>
      </c>
      <c r="L97" s="124">
        <v>4.3419417741245023E-4</v>
      </c>
      <c r="M97" s="124">
        <v>3.0095678170293433E-4</v>
      </c>
      <c r="N97" s="124">
        <v>2.7771838610940745E-4</v>
      </c>
      <c r="O97" s="124">
        <v>3.4973533727834929E-4</v>
      </c>
      <c r="P97" s="124">
        <v>1.8951125701954601E-4</v>
      </c>
      <c r="Q97" s="124">
        <v>9.1652202947498958E-5</v>
      </c>
      <c r="R97" s="124">
        <v>2.8573085856407855E-5</v>
      </c>
      <c r="S97" s="124">
        <v>7.7859491480434409E-5</v>
      </c>
      <c r="T97" s="124">
        <v>8.5888059131104434E-5</v>
      </c>
      <c r="U97" s="124">
        <v>7.9701465858456057E-6</v>
      </c>
      <c r="V97" s="124">
        <v>2.4689373571238908E-5</v>
      </c>
      <c r="W97" s="124">
        <v>6.0607112891711147E-5</v>
      </c>
      <c r="X97" s="124">
        <v>8.5664769990792503E-6</v>
      </c>
      <c r="Y97" s="124">
        <v>9.7451321002135228E-8</v>
      </c>
      <c r="Z97" s="124">
        <v>0</v>
      </c>
      <c r="AA97" s="124">
        <v>0</v>
      </c>
      <c r="AB97" s="124">
        <v>0</v>
      </c>
      <c r="AC97" s="124">
        <v>0</v>
      </c>
    </row>
    <row r="98" spans="1:29" ht="15.75" customHeight="1">
      <c r="A98" s="141" t="s">
        <v>468</v>
      </c>
      <c r="B98" s="124">
        <v>6.6459224219747487E-5</v>
      </c>
      <c r="C98" s="124">
        <v>1.7154520852475833E-4</v>
      </c>
      <c r="D98" s="124">
        <v>2.6450322429543517E-4</v>
      </c>
      <c r="E98" s="124">
        <v>2.705890919665488E-4</v>
      </c>
      <c r="F98" s="124">
        <v>3.7739879074080864E-4</v>
      </c>
      <c r="G98" s="124">
        <v>4.0060430598363566E-4</v>
      </c>
      <c r="H98" s="124">
        <v>5.6951814272770528E-4</v>
      </c>
      <c r="I98" s="124">
        <v>5.7304369196754248E-4</v>
      </c>
      <c r="J98" s="124">
        <v>3.7505649033077964E-4</v>
      </c>
      <c r="K98" s="124">
        <v>4.5638749494157551E-4</v>
      </c>
      <c r="L98" s="124">
        <v>3.3103185246029584E-4</v>
      </c>
      <c r="M98" s="124">
        <v>2.8779495754260452E-4</v>
      </c>
      <c r="N98" s="124">
        <v>2.714126016615491E-4</v>
      </c>
      <c r="O98" s="124">
        <v>1.4331284860762198E-5</v>
      </c>
      <c r="P98" s="124">
        <v>5.2841349518329913E-4</v>
      </c>
      <c r="Q98" s="124">
        <v>3.4825677028913035E-4</v>
      </c>
      <c r="R98" s="124">
        <v>3.0348212204457463E-4</v>
      </c>
      <c r="S98" s="124">
        <v>8.7295555206842832E-5</v>
      </c>
      <c r="T98" s="124">
        <v>1.6525718806342355E-3</v>
      </c>
      <c r="U98" s="124">
        <v>8.1507255882173055E-4</v>
      </c>
      <c r="V98" s="124">
        <v>6.1830511449563073E-4</v>
      </c>
      <c r="W98" s="124">
        <v>4.0947945849372012E-4</v>
      </c>
      <c r="X98" s="124">
        <v>3.6015599780500623E-4</v>
      </c>
      <c r="Y98" s="124">
        <v>2.9826620889493243E-4</v>
      </c>
      <c r="Z98" s="124">
        <v>3.0027373975297463E-4</v>
      </c>
      <c r="AA98" s="124">
        <v>5.4593769041506954E-4</v>
      </c>
      <c r="AB98" s="124">
        <v>5.2466139029221906E-4</v>
      </c>
      <c r="AC98" s="124">
        <v>4.4013063381167551E-4</v>
      </c>
    </row>
    <row r="99" spans="1:29" ht="15.75" customHeight="1">
      <c r="A99" s="142" t="s">
        <v>469</v>
      </c>
      <c r="B99" s="124">
        <v>0</v>
      </c>
      <c r="C99" s="124">
        <v>0</v>
      </c>
      <c r="D99" s="124">
        <v>0</v>
      </c>
      <c r="E99" s="124">
        <v>0</v>
      </c>
      <c r="F99" s="124">
        <v>0</v>
      </c>
      <c r="G99" s="124">
        <v>0</v>
      </c>
      <c r="H99" s="124">
        <v>3.3142697056039611E-4</v>
      </c>
      <c r="I99" s="124">
        <v>3.1098800765837827E-4</v>
      </c>
      <c r="J99" s="124">
        <v>3.5119132944575067E-4</v>
      </c>
      <c r="K99" s="124">
        <v>4.5183498343597114E-4</v>
      </c>
      <c r="L99" s="124">
        <v>2.0818521310947364E-4</v>
      </c>
      <c r="M99" s="124">
        <v>2.0107852454455248E-4</v>
      </c>
      <c r="N99" s="124">
        <v>2.3038125724090259E-4</v>
      </c>
      <c r="O99" s="124">
        <v>8.3342349262232365E-5</v>
      </c>
      <c r="P99" s="124">
        <v>5.0265529944221274E-4</v>
      </c>
      <c r="Q99" s="124">
        <v>4.9124601145219236E-4</v>
      </c>
      <c r="R99" s="124">
        <v>3.2165728763813606E-4</v>
      </c>
      <c r="S99" s="124">
        <v>8.1356442836496651E-5</v>
      </c>
      <c r="T99" s="124">
        <v>1.6730114349889176E-3</v>
      </c>
      <c r="U99" s="124">
        <v>8.573909686388759E-4</v>
      </c>
      <c r="V99" s="124">
        <v>6.2169152250323757E-4</v>
      </c>
      <c r="W99" s="124">
        <v>4.1443170818865452E-4</v>
      </c>
      <c r="X99" s="124">
        <v>3.6388111800412528E-4</v>
      </c>
      <c r="Y99" s="124">
        <v>3.0220564005242105E-4</v>
      </c>
      <c r="Z99" s="124">
        <v>3.0238822350739326E-4</v>
      </c>
      <c r="AA99" s="124">
        <v>5.5007532121588302E-4</v>
      </c>
      <c r="AB99" s="124">
        <v>5.2987942306125652E-4</v>
      </c>
      <c r="AC99" s="124">
        <v>4.3026812425396279E-4</v>
      </c>
    </row>
    <row r="100" spans="1:29" ht="15.75" customHeight="1">
      <c r="A100" s="142" t="s">
        <v>470</v>
      </c>
      <c r="B100" s="124">
        <v>0</v>
      </c>
      <c r="C100" s="124">
        <v>0</v>
      </c>
      <c r="D100" s="124">
        <v>0</v>
      </c>
      <c r="E100" s="124">
        <v>0</v>
      </c>
      <c r="F100" s="124">
        <v>0</v>
      </c>
      <c r="G100" s="124">
        <v>0</v>
      </c>
      <c r="H100" s="124">
        <v>2.3809117216730912E-4</v>
      </c>
      <c r="I100" s="124">
        <v>2.6205568430916415E-4</v>
      </c>
      <c r="J100" s="124">
        <v>2.3865160885028989E-5</v>
      </c>
      <c r="K100" s="124">
        <v>4.5525115056042756E-6</v>
      </c>
      <c r="L100" s="124">
        <v>1.228466393508222E-4</v>
      </c>
      <c r="M100" s="124">
        <v>8.671643299805206E-5</v>
      </c>
      <c r="N100" s="124">
        <v>4.1031344420646491E-5</v>
      </c>
      <c r="O100" s="124">
        <v>-6.9011064401470167E-5</v>
      </c>
      <c r="P100" s="124">
        <v>2.5758195741086354E-5</v>
      </c>
      <c r="Q100" s="124">
        <v>-1.4298924116306201E-4</v>
      </c>
      <c r="R100" s="124">
        <v>-1.8175165593561322E-5</v>
      </c>
      <c r="S100" s="124">
        <v>5.9391123703461487E-6</v>
      </c>
      <c r="T100" s="124">
        <v>-2.0439554354681752E-5</v>
      </c>
      <c r="U100" s="124">
        <v>-4.2318409817145392E-5</v>
      </c>
      <c r="V100" s="124">
        <v>-3.3864080076068312E-6</v>
      </c>
      <c r="W100" s="124">
        <v>-4.9522496949344788E-6</v>
      </c>
      <c r="X100" s="124">
        <v>-3.72512019911903E-6</v>
      </c>
      <c r="Y100" s="124">
        <v>-3.9394311574885739E-6</v>
      </c>
      <c r="Z100" s="124">
        <v>-2.1144837544185342E-6</v>
      </c>
      <c r="AA100" s="124">
        <v>-4.1376308008134743E-6</v>
      </c>
      <c r="AB100" s="124">
        <v>-5.2180327690374723E-6</v>
      </c>
      <c r="AC100" s="124">
        <v>9.8625095577126171E-6</v>
      </c>
    </row>
    <row r="101" spans="1:29" ht="15.75" customHeight="1">
      <c r="A101" s="142" t="s">
        <v>471</v>
      </c>
      <c r="B101" s="124">
        <v>0</v>
      </c>
      <c r="C101" s="124">
        <v>0</v>
      </c>
      <c r="D101" s="124">
        <v>0</v>
      </c>
      <c r="E101" s="124">
        <v>0</v>
      </c>
      <c r="F101" s="124">
        <v>0</v>
      </c>
      <c r="G101" s="124">
        <v>0</v>
      </c>
      <c r="H101" s="124">
        <v>0</v>
      </c>
      <c r="I101" s="124">
        <v>0</v>
      </c>
      <c r="J101" s="124">
        <v>0</v>
      </c>
      <c r="K101" s="124">
        <v>0</v>
      </c>
      <c r="L101" s="124">
        <v>0</v>
      </c>
      <c r="M101" s="124">
        <v>0</v>
      </c>
      <c r="N101" s="124">
        <v>0</v>
      </c>
      <c r="O101" s="124">
        <v>0</v>
      </c>
      <c r="P101" s="124">
        <v>0</v>
      </c>
      <c r="Q101" s="124">
        <v>0</v>
      </c>
      <c r="R101" s="124">
        <v>0</v>
      </c>
      <c r="S101" s="124">
        <v>0</v>
      </c>
      <c r="T101" s="124">
        <v>0</v>
      </c>
      <c r="U101" s="124">
        <v>0</v>
      </c>
      <c r="V101" s="124">
        <v>0</v>
      </c>
      <c r="W101" s="124">
        <v>0</v>
      </c>
      <c r="X101" s="124">
        <v>0</v>
      </c>
      <c r="Y101" s="124">
        <v>0</v>
      </c>
      <c r="Z101" s="124">
        <v>0</v>
      </c>
      <c r="AA101" s="124">
        <v>0</v>
      </c>
      <c r="AB101" s="124">
        <v>0</v>
      </c>
      <c r="AC101" s="124">
        <v>0</v>
      </c>
    </row>
    <row r="102" spans="1:29" ht="15.75" customHeight="1">
      <c r="A102" s="141" t="s">
        <v>472</v>
      </c>
      <c r="B102" s="124">
        <v>3.1723995818879158E-4</v>
      </c>
      <c r="C102" s="124">
        <v>6.1449934888078127E-4</v>
      </c>
      <c r="D102" s="124">
        <v>7.5064886956593697E-4</v>
      </c>
      <c r="E102" s="124">
        <v>7.1385764517550659E-4</v>
      </c>
      <c r="F102" s="124">
        <v>9.8168786295781043E-4</v>
      </c>
      <c r="G102" s="124">
        <v>3.1244639157024386E-4</v>
      </c>
      <c r="H102" s="124">
        <v>4.9300681186299159E-4</v>
      </c>
      <c r="I102" s="124">
        <v>2.797744534716193E-4</v>
      </c>
      <c r="J102" s="124">
        <v>3.0680078373527089E-4</v>
      </c>
      <c r="K102" s="124">
        <v>2.2920986619901282E-4</v>
      </c>
      <c r="L102" s="124">
        <v>8.6071846021585033E-5</v>
      </c>
      <c r="M102" s="124">
        <v>3.7448047898540682E-5</v>
      </c>
      <c r="N102" s="124">
        <v>1.3760911544205171E-5</v>
      </c>
      <c r="O102" s="124">
        <v>-2.703087898067276E-5</v>
      </c>
      <c r="P102" s="124">
        <v>7.4378578008244564E-5</v>
      </c>
      <c r="Q102" s="124">
        <v>7.6086820347600034E-5</v>
      </c>
      <c r="R102" s="124">
        <v>4.2468796732444167E-5</v>
      </c>
      <c r="S102" s="124">
        <v>1.0882952775858617E-4</v>
      </c>
      <c r="T102" s="124">
        <v>5.782535934579178E-5</v>
      </c>
      <c r="U102" s="124">
        <v>1.1162953899946153E-4</v>
      </c>
      <c r="V102" s="124">
        <v>5.7514641014261919E-5</v>
      </c>
      <c r="W102" s="124">
        <v>9.1038148431007805E-5</v>
      </c>
      <c r="X102" s="124">
        <v>4.1139827058485134E-5</v>
      </c>
      <c r="Y102" s="124">
        <v>4.8910934253395536E-5</v>
      </c>
      <c r="Z102" s="124">
        <v>8.937129625830876E-5</v>
      </c>
      <c r="AA102" s="124">
        <v>4.236857103881931E-5</v>
      </c>
      <c r="AB102" s="124">
        <v>3.7884520826242667E-5</v>
      </c>
      <c r="AC102" s="124">
        <v>4.4119148905762336E-5</v>
      </c>
    </row>
    <row r="103" spans="1:29" ht="15.75" customHeight="1">
      <c r="A103" s="142" t="s">
        <v>473</v>
      </c>
      <c r="B103" s="124">
        <v>0</v>
      </c>
      <c r="C103" s="124">
        <v>0</v>
      </c>
      <c r="D103" s="124">
        <v>0</v>
      </c>
      <c r="E103" s="124">
        <v>0</v>
      </c>
      <c r="F103" s="124">
        <v>0</v>
      </c>
      <c r="G103" s="124">
        <v>0</v>
      </c>
      <c r="H103" s="124">
        <v>5.339508794370007E-4</v>
      </c>
      <c r="I103" s="124">
        <v>2.4710143157462137E-4</v>
      </c>
      <c r="J103" s="124">
        <v>2.8043941547323188E-4</v>
      </c>
      <c r="K103" s="124">
        <v>1.8627064288294481E-4</v>
      </c>
      <c r="L103" s="124">
        <v>1.4076489633508909E-4</v>
      </c>
      <c r="M103" s="124">
        <v>9.8759888740664701E-5</v>
      </c>
      <c r="N103" s="124">
        <v>1.1829908131960566E-4</v>
      </c>
      <c r="O103" s="124">
        <v>5.9634535420393492E-5</v>
      </c>
      <c r="P103" s="124">
        <v>9.2530300847488167E-5</v>
      </c>
      <c r="Q103" s="124">
        <v>1.2219874689385664E-4</v>
      </c>
      <c r="R103" s="124">
        <v>1.096551675337064E-4</v>
      </c>
      <c r="S103" s="124">
        <v>1.4879338912234127E-4</v>
      </c>
      <c r="T103" s="124">
        <v>1.2981805653295065E-4</v>
      </c>
      <c r="U103" s="124">
        <v>1.0595783027784716E-4</v>
      </c>
      <c r="V103" s="124">
        <v>9.4259543315956847E-5</v>
      </c>
      <c r="W103" s="124">
        <v>1.2490172840085863E-4</v>
      </c>
      <c r="X103" s="124">
        <v>3.6044363131429964E-5</v>
      </c>
      <c r="Y103" s="124">
        <v>4.0580853410060021E-5</v>
      </c>
      <c r="Z103" s="124">
        <v>6.3926179426127626E-5</v>
      </c>
      <c r="AA103" s="124">
        <v>3.8537219997591569E-5</v>
      </c>
      <c r="AB103" s="124">
        <v>4.5365379782471818E-5</v>
      </c>
      <c r="AC103" s="124">
        <v>5.365255791725138E-5</v>
      </c>
    </row>
    <row r="104" spans="1:29" ht="15.75" customHeight="1">
      <c r="A104" s="142" t="s">
        <v>474</v>
      </c>
      <c r="B104" s="124">
        <v>0</v>
      </c>
      <c r="C104" s="124">
        <v>0</v>
      </c>
      <c r="D104" s="124">
        <v>0</v>
      </c>
      <c r="E104" s="124">
        <v>0</v>
      </c>
      <c r="F104" s="124">
        <v>0</v>
      </c>
      <c r="G104" s="124">
        <v>0</v>
      </c>
      <c r="H104" s="124">
        <v>-4.0944067574009091E-5</v>
      </c>
      <c r="I104" s="124">
        <v>3.2673021896997938E-5</v>
      </c>
      <c r="J104" s="124">
        <v>2.6361368262039045E-5</v>
      </c>
      <c r="K104" s="124">
        <v>4.2939223316068007E-5</v>
      </c>
      <c r="L104" s="124">
        <v>-5.4693050313504061E-5</v>
      </c>
      <c r="M104" s="124">
        <v>-6.1311840842124019E-5</v>
      </c>
      <c r="N104" s="124">
        <v>-1.0453816977540051E-4</v>
      </c>
      <c r="O104" s="124">
        <v>-8.6665414401066235E-5</v>
      </c>
      <c r="P104" s="124">
        <v>-1.81517228392436E-5</v>
      </c>
      <c r="Q104" s="124">
        <v>-4.6111926546256629E-5</v>
      </c>
      <c r="R104" s="124">
        <v>-6.7186370801262244E-5</v>
      </c>
      <c r="S104" s="124">
        <v>-3.9963861363755086E-5</v>
      </c>
      <c r="T104" s="124">
        <v>-7.19926971871589E-5</v>
      </c>
      <c r="U104" s="124">
        <v>5.6717087216143869E-6</v>
      </c>
      <c r="V104" s="124">
        <v>-3.6744902301694914E-5</v>
      </c>
      <c r="W104" s="124">
        <v>-3.3863579969850802E-5</v>
      </c>
      <c r="X104" s="124">
        <v>5.0954639270551739E-6</v>
      </c>
      <c r="Y104" s="124">
        <v>8.3300808433355048E-6</v>
      </c>
      <c r="Z104" s="124">
        <v>2.5445116832181145E-5</v>
      </c>
      <c r="AA104" s="124">
        <v>3.8313510412277299E-6</v>
      </c>
      <c r="AB104" s="124">
        <v>-7.4808589562291508E-6</v>
      </c>
      <c r="AC104" s="124">
        <v>-9.5334090114890436E-6</v>
      </c>
    </row>
    <row r="105" spans="1:29" ht="18">
      <c r="A105" s="141" t="s">
        <v>475</v>
      </c>
      <c r="B105" s="124">
        <v>0</v>
      </c>
      <c r="C105" s="124">
        <v>0</v>
      </c>
      <c r="D105" s="124">
        <v>0</v>
      </c>
      <c r="E105" s="124">
        <v>9.4386555330364922E-6</v>
      </c>
      <c r="F105" s="124">
        <v>3.3834902569996736E-5</v>
      </c>
      <c r="G105" s="124">
        <v>0</v>
      </c>
      <c r="H105" s="124">
        <v>1.0599310106332493E-4</v>
      </c>
      <c r="I105" s="124">
        <v>6.9302480617385105E-5</v>
      </c>
      <c r="J105" s="124">
        <v>5.2031662904692235E-4</v>
      </c>
      <c r="K105" s="124">
        <v>1.7786932004198696E-4</v>
      </c>
      <c r="L105" s="124">
        <v>1.9913983147366054E-4</v>
      </c>
      <c r="M105" s="124">
        <v>1.5299405929291931E-4</v>
      </c>
      <c r="N105" s="124">
        <v>1.3756822864010381E-4</v>
      </c>
      <c r="O105" s="124">
        <v>1.1797589851819912E-4</v>
      </c>
      <c r="P105" s="124">
        <v>1.8953369563665101E-4</v>
      </c>
      <c r="Q105" s="124">
        <v>8.1137270815088758E-5</v>
      </c>
      <c r="R105" s="124">
        <v>1.4740912162796541E-4</v>
      </c>
      <c r="S105" s="124">
        <v>6.1520874608163664E-5</v>
      </c>
      <c r="T105" s="124">
        <v>5.0177129289905283E-5</v>
      </c>
      <c r="U105" s="124">
        <v>9.9332102527499366E-5</v>
      </c>
      <c r="V105" s="124">
        <v>2.9674125887555342E-5</v>
      </c>
      <c r="W105" s="124">
        <v>2.6159606639670655E-4</v>
      </c>
      <c r="X105" s="124">
        <v>1.4142108236236679E-4</v>
      </c>
      <c r="Y105" s="124">
        <v>7.0100958874646604E-5</v>
      </c>
      <c r="Z105" s="124">
        <v>7.9007813380718137E-5</v>
      </c>
      <c r="AA105" s="124">
        <v>3.0229594686256173E-5</v>
      </c>
      <c r="AB105" s="124">
        <v>5.7275100104289132E-5</v>
      </c>
      <c r="AC105" s="124">
        <v>1.0230577053939254E-4</v>
      </c>
    </row>
    <row r="106" spans="1:29" ht="15.75" customHeight="1">
      <c r="A106" s="141" t="s">
        <v>476</v>
      </c>
      <c r="B106" s="124">
        <v>0</v>
      </c>
      <c r="C106" s="124">
        <v>0</v>
      </c>
      <c r="D106" s="124">
        <v>0</v>
      </c>
      <c r="E106" s="124">
        <v>0</v>
      </c>
      <c r="F106" s="124">
        <v>0</v>
      </c>
      <c r="G106" s="124">
        <v>0</v>
      </c>
      <c r="H106" s="124">
        <v>0</v>
      </c>
      <c r="I106" s="124">
        <v>0</v>
      </c>
      <c r="J106" s="124">
        <v>0</v>
      </c>
      <c r="K106" s="124">
        <v>0</v>
      </c>
      <c r="L106" s="124">
        <v>0</v>
      </c>
      <c r="M106" s="124">
        <v>0</v>
      </c>
      <c r="N106" s="124">
        <v>0</v>
      </c>
      <c r="O106" s="124">
        <v>0</v>
      </c>
      <c r="P106" s="124">
        <v>1.6355101771827008E-7</v>
      </c>
      <c r="Q106" s="124">
        <v>1.4865989790858467E-7</v>
      </c>
      <c r="R106" s="124">
        <v>0</v>
      </c>
      <c r="S106" s="124">
        <v>0</v>
      </c>
      <c r="T106" s="124">
        <v>8.1582493377821602E-6</v>
      </c>
      <c r="U106" s="124">
        <v>9.0237732519421111E-6</v>
      </c>
      <c r="V106" s="124">
        <v>6.9910958518010265E-6</v>
      </c>
      <c r="W106" s="124">
        <v>4.0008685519647045E-6</v>
      </c>
      <c r="X106" s="124">
        <v>1.9942156826141364E-6</v>
      </c>
      <c r="Y106" s="124">
        <v>3.1153400236840544E-7</v>
      </c>
      <c r="Z106" s="124">
        <v>0</v>
      </c>
      <c r="AA106" s="124">
        <v>0</v>
      </c>
      <c r="AB106" s="124">
        <v>0</v>
      </c>
      <c r="AC106" s="124">
        <v>0</v>
      </c>
    </row>
    <row r="107" spans="1:29" ht="15.75" customHeight="1">
      <c r="A107" s="141" t="s">
        <v>477</v>
      </c>
      <c r="B107" s="124">
        <v>0</v>
      </c>
      <c r="C107" s="124">
        <v>0</v>
      </c>
      <c r="D107" s="124">
        <v>0</v>
      </c>
      <c r="E107" s="124">
        <v>0</v>
      </c>
      <c r="F107" s="124">
        <v>0</v>
      </c>
      <c r="G107" s="124">
        <v>0</v>
      </c>
      <c r="H107" s="124">
        <v>0</v>
      </c>
      <c r="I107" s="124">
        <v>5.7908780364611176E-7</v>
      </c>
      <c r="J107" s="124">
        <v>5.4578550068102651E-7</v>
      </c>
      <c r="K107" s="124">
        <v>4.5909006454544219E-7</v>
      </c>
      <c r="L107" s="124">
        <v>1.0731530616731886E-7</v>
      </c>
      <c r="M107" s="124">
        <v>0</v>
      </c>
      <c r="N107" s="124">
        <v>2.5091770629710746E-7</v>
      </c>
      <c r="O107" s="124">
        <v>0</v>
      </c>
      <c r="P107" s="124">
        <v>3.2422528473232358E-8</v>
      </c>
      <c r="Q107" s="124">
        <v>8.8876467369606275E-8</v>
      </c>
      <c r="R107" s="124">
        <v>0</v>
      </c>
      <c r="S107" s="124">
        <v>0</v>
      </c>
      <c r="T107" s="124">
        <v>0</v>
      </c>
      <c r="U107" s="124">
        <v>0</v>
      </c>
      <c r="V107" s="124">
        <v>0</v>
      </c>
      <c r="W107" s="124">
        <v>4.2314382349600333E-6</v>
      </c>
      <c r="X107" s="124">
        <v>0</v>
      </c>
      <c r="Y107" s="124">
        <v>1.132683239250091E-6</v>
      </c>
      <c r="Z107" s="124">
        <v>0</v>
      </c>
      <c r="AA107" s="124">
        <v>0</v>
      </c>
      <c r="AB107" s="124">
        <v>0</v>
      </c>
      <c r="AC107" s="124">
        <v>0</v>
      </c>
    </row>
    <row r="108" spans="1:29" ht="15.75" customHeight="1">
      <c r="A108" s="141" t="s">
        <v>478</v>
      </c>
      <c r="B108" s="124">
        <v>0</v>
      </c>
      <c r="C108" s="124">
        <v>0</v>
      </c>
      <c r="D108" s="124">
        <v>0</v>
      </c>
      <c r="E108" s="124">
        <v>0</v>
      </c>
      <c r="F108" s="124">
        <v>0</v>
      </c>
      <c r="G108" s="124">
        <v>3.805707814443439E-5</v>
      </c>
      <c r="H108" s="124">
        <v>9.2287847117108969E-5</v>
      </c>
      <c r="I108" s="124">
        <v>1.8403316899229025E-4</v>
      </c>
      <c r="J108" s="124">
        <v>1.1823449093967278E-4</v>
      </c>
      <c r="K108" s="124">
        <v>1.1822025551277449E-4</v>
      </c>
      <c r="L108" s="124">
        <v>4.6601796054188886E-5</v>
      </c>
      <c r="M108" s="124">
        <v>1.0681094284726408E-4</v>
      </c>
      <c r="N108" s="124">
        <v>5.8000128684200171E-5</v>
      </c>
      <c r="O108" s="124">
        <v>0</v>
      </c>
      <c r="P108" s="124">
        <v>0</v>
      </c>
      <c r="Q108" s="124">
        <v>0</v>
      </c>
      <c r="R108" s="124">
        <v>0</v>
      </c>
      <c r="S108" s="124">
        <v>0</v>
      </c>
      <c r="T108" s="124">
        <v>0</v>
      </c>
      <c r="U108" s="124">
        <v>0</v>
      </c>
      <c r="V108" s="124">
        <v>0</v>
      </c>
      <c r="W108" s="124">
        <v>0</v>
      </c>
      <c r="X108" s="124">
        <v>0</v>
      </c>
      <c r="Y108" s="124">
        <v>0</v>
      </c>
      <c r="Z108" s="124">
        <v>0</v>
      </c>
      <c r="AA108" s="124">
        <v>0</v>
      </c>
      <c r="AB108" s="124">
        <v>0</v>
      </c>
      <c r="AC108" s="124">
        <v>0</v>
      </c>
    </row>
    <row r="109" spans="1:29" ht="15.75" customHeight="1">
      <c r="A109" s="141" t="s">
        <v>479</v>
      </c>
      <c r="B109" s="124">
        <v>4.4255900812654948E-4</v>
      </c>
      <c r="C109" s="124">
        <v>5.2808501755373112E-4</v>
      </c>
      <c r="D109" s="124">
        <v>2.8594891471581829E-4</v>
      </c>
      <c r="E109" s="124">
        <v>9.3856213986767017E-4</v>
      </c>
      <c r="F109" s="124">
        <v>8.3096412711875086E-4</v>
      </c>
      <c r="G109" s="124">
        <v>7.2026006152634209E-4</v>
      </c>
      <c r="H109" s="124">
        <v>1.1225041382356125E-3</v>
      </c>
      <c r="I109" s="124">
        <v>6.3428651801006309E-4</v>
      </c>
      <c r="J109" s="124">
        <v>1.2436119145223287E-3</v>
      </c>
      <c r="K109" s="124">
        <v>1.9350765327444375E-4</v>
      </c>
      <c r="L109" s="124">
        <v>5.2876579691575934E-4</v>
      </c>
      <c r="M109" s="124">
        <v>0</v>
      </c>
      <c r="N109" s="124">
        <v>0</v>
      </c>
      <c r="O109" s="124">
        <v>0</v>
      </c>
      <c r="P109" s="124">
        <v>0</v>
      </c>
      <c r="Q109" s="124">
        <v>0</v>
      </c>
      <c r="R109" s="124">
        <v>0</v>
      </c>
      <c r="S109" s="124">
        <v>0</v>
      </c>
      <c r="T109" s="124">
        <v>2.5121522817751144E-4</v>
      </c>
      <c r="U109" s="124">
        <v>0</v>
      </c>
      <c r="V109" s="124">
        <v>0</v>
      </c>
      <c r="W109" s="124">
        <v>0</v>
      </c>
      <c r="X109" s="124">
        <v>0</v>
      </c>
      <c r="Y109" s="124">
        <v>0</v>
      </c>
      <c r="Z109" s="124">
        <v>0</v>
      </c>
      <c r="AA109" s="124">
        <v>0</v>
      </c>
      <c r="AB109" s="124">
        <v>0</v>
      </c>
      <c r="AC109" s="124">
        <v>0</v>
      </c>
    </row>
    <row r="110" spans="1:29" ht="18">
      <c r="A110" s="141" t="s">
        <v>480</v>
      </c>
      <c r="B110" s="124">
        <v>0</v>
      </c>
      <c r="C110" s="124">
        <v>0</v>
      </c>
      <c r="D110" s="124">
        <v>0</v>
      </c>
      <c r="E110" s="124">
        <v>0</v>
      </c>
      <c r="F110" s="124">
        <v>0</v>
      </c>
      <c r="G110" s="124">
        <v>0</v>
      </c>
      <c r="H110" s="124">
        <v>0</v>
      </c>
      <c r="I110" s="124">
        <v>1.3755283497053308E-4</v>
      </c>
      <c r="J110" s="124">
        <v>2.5110750852003606E-4</v>
      </c>
      <c r="K110" s="124">
        <v>3.9971159824455174E-4</v>
      </c>
      <c r="L110" s="124">
        <v>5.5944151991583406E-4</v>
      </c>
      <c r="M110" s="124">
        <v>3.0966820964712413E-4</v>
      </c>
      <c r="N110" s="124">
        <v>2.5948180575354797E-4</v>
      </c>
      <c r="O110" s="124">
        <v>1.9011194730801751E-4</v>
      </c>
      <c r="P110" s="124">
        <v>1.6138739874480836E-4</v>
      </c>
      <c r="Q110" s="124">
        <v>9.3672500842043748E-5</v>
      </c>
      <c r="R110" s="124">
        <v>1.2480683176096091E-5</v>
      </c>
      <c r="S110" s="124">
        <v>7.8249852888460525E-6</v>
      </c>
      <c r="T110" s="124">
        <v>1.0358055808659472E-5</v>
      </c>
      <c r="U110" s="124">
        <v>1.5196645717050171E-5</v>
      </c>
      <c r="V110" s="124">
        <v>2.0973714895616288E-5</v>
      </c>
      <c r="W110" s="124">
        <v>6.2821428166094716E-5</v>
      </c>
      <c r="X110" s="124">
        <v>3.3222517297116995E-5</v>
      </c>
      <c r="Y110" s="124">
        <v>2.9967432534567075E-5</v>
      </c>
      <c r="Z110" s="124">
        <v>3.258299777825447E-5</v>
      </c>
      <c r="AA110" s="124">
        <v>2.5949954176643488E-5</v>
      </c>
      <c r="AB110" s="124">
        <v>4.1864014905207532E-5</v>
      </c>
      <c r="AC110" s="124">
        <v>2.6597527381921465E-5</v>
      </c>
    </row>
    <row r="111" spans="1:29" ht="15.75" customHeight="1">
      <c r="A111" s="141" t="s">
        <v>481</v>
      </c>
      <c r="B111" s="124">
        <v>0</v>
      </c>
      <c r="C111" s="124">
        <v>0</v>
      </c>
      <c r="D111" s="124">
        <v>0</v>
      </c>
      <c r="E111" s="124">
        <v>0</v>
      </c>
      <c r="F111" s="124">
        <v>0</v>
      </c>
      <c r="G111" s="124">
        <v>0</v>
      </c>
      <c r="H111" s="124">
        <v>0</v>
      </c>
      <c r="I111" s="124">
        <v>0</v>
      </c>
      <c r="J111" s="124">
        <v>0</v>
      </c>
      <c r="K111" s="124">
        <v>0</v>
      </c>
      <c r="L111" s="124">
        <v>9.371645897897916E-7</v>
      </c>
      <c r="M111" s="124">
        <v>7.6142533185279391E-6</v>
      </c>
      <c r="N111" s="124">
        <v>1.5886777057609901E-5</v>
      </c>
      <c r="O111" s="124">
        <v>2.1286349309036878E-5</v>
      </c>
      <c r="P111" s="124">
        <v>1.4990915270237453E-5</v>
      </c>
      <c r="Q111" s="124">
        <v>1.5477324021479194E-5</v>
      </c>
      <c r="R111" s="124">
        <v>1.2797349721495918E-5</v>
      </c>
      <c r="S111" s="124">
        <v>1.7986175196414549E-5</v>
      </c>
      <c r="T111" s="124">
        <v>1.6884154526273385E-5</v>
      </c>
      <c r="U111" s="124">
        <v>1.7564509312389121E-5</v>
      </c>
      <c r="V111" s="124">
        <v>1.7114545063101359E-5</v>
      </c>
      <c r="W111" s="124">
        <v>1.5330494193597005E-5</v>
      </c>
      <c r="X111" s="124">
        <v>5.7781615690883056E-6</v>
      </c>
      <c r="Y111" s="124">
        <v>7.7139555347751154E-7</v>
      </c>
      <c r="Z111" s="124">
        <v>1.0262986469514505E-6</v>
      </c>
      <c r="AA111" s="124">
        <v>4.9363155767479814E-8</v>
      </c>
      <c r="AB111" s="124">
        <v>0</v>
      </c>
      <c r="AC111" s="124">
        <v>0</v>
      </c>
    </row>
    <row r="112" spans="1:29" ht="15.75" customHeight="1">
      <c r="A112" s="141" t="s">
        <v>482</v>
      </c>
      <c r="B112" s="124">
        <v>0</v>
      </c>
      <c r="C112" s="124">
        <v>0</v>
      </c>
      <c r="D112" s="124">
        <v>0</v>
      </c>
      <c r="E112" s="124">
        <v>0</v>
      </c>
      <c r="F112" s="124">
        <v>0</v>
      </c>
      <c r="G112" s="124">
        <v>0</v>
      </c>
      <c r="H112" s="124">
        <v>0</v>
      </c>
      <c r="I112" s="124">
        <v>0</v>
      </c>
      <c r="J112" s="124">
        <v>0</v>
      </c>
      <c r="K112" s="124">
        <v>0</v>
      </c>
      <c r="L112" s="124">
        <v>0</v>
      </c>
      <c r="M112" s="124">
        <v>0</v>
      </c>
      <c r="N112" s="124">
        <v>1.7603372339062666E-5</v>
      </c>
      <c r="O112" s="124">
        <v>0</v>
      </c>
      <c r="P112" s="124">
        <v>5.8713819545137176E-6</v>
      </c>
      <c r="Q112" s="124">
        <v>1.1903234978347994E-5</v>
      </c>
      <c r="R112" s="124">
        <v>1.2875295272374378E-6</v>
      </c>
      <c r="S112" s="124">
        <v>4.9211777808121492E-7</v>
      </c>
      <c r="T112" s="124">
        <v>3.9412536671297201E-7</v>
      </c>
      <c r="U112" s="124">
        <v>4.1416659867325342E-6</v>
      </c>
      <c r="V112" s="124">
        <v>2.4754712815353254E-6</v>
      </c>
      <c r="W112" s="124">
        <v>1.3125670514257151E-6</v>
      </c>
      <c r="X112" s="124">
        <v>7.5887923632899385E-7</v>
      </c>
      <c r="Y112" s="124">
        <v>1.3450163785579588E-7</v>
      </c>
      <c r="Z112" s="124">
        <v>1.2369675267971894E-8</v>
      </c>
      <c r="AA112" s="124">
        <v>0</v>
      </c>
      <c r="AB112" s="124">
        <v>1.74767775121729E-9</v>
      </c>
      <c r="AC112" s="124">
        <v>4.0431069673855419E-8</v>
      </c>
    </row>
    <row r="113" spans="1:29" ht="15.75" customHeight="1">
      <c r="A113" s="141" t="s">
        <v>483</v>
      </c>
      <c r="B113" s="124">
        <v>0</v>
      </c>
      <c r="C113" s="124">
        <v>0</v>
      </c>
      <c r="D113" s="124">
        <v>0</v>
      </c>
      <c r="E113" s="124">
        <v>0</v>
      </c>
      <c r="F113" s="124">
        <v>0</v>
      </c>
      <c r="G113" s="124">
        <v>0</v>
      </c>
      <c r="H113" s="124">
        <v>0</v>
      </c>
      <c r="I113" s="124">
        <v>0</v>
      </c>
      <c r="J113" s="124">
        <v>0</v>
      </c>
      <c r="K113" s="124">
        <v>0</v>
      </c>
      <c r="L113" s="124">
        <v>0</v>
      </c>
      <c r="M113" s="124">
        <v>0</v>
      </c>
      <c r="N113" s="124">
        <v>0</v>
      </c>
      <c r="O113" s="124">
        <v>0</v>
      </c>
      <c r="P113" s="124">
        <v>9.8020678586635017E-5</v>
      </c>
      <c r="Q113" s="124">
        <v>1.5611591071560416E-4</v>
      </c>
      <c r="R113" s="124">
        <v>2.2855886485610346E-5</v>
      </c>
      <c r="S113" s="124">
        <v>1.916347895714593E-5</v>
      </c>
      <c r="T113" s="124">
        <v>5.0508225482096668E-3</v>
      </c>
      <c r="U113" s="124">
        <v>1.6294728968217779E-3</v>
      </c>
      <c r="V113" s="124">
        <v>1.2008816886094602E-3</v>
      </c>
      <c r="W113" s="124">
        <v>7.152202098281951E-4</v>
      </c>
      <c r="X113" s="124">
        <v>4.4140976596047997E-4</v>
      </c>
      <c r="Y113" s="124">
        <v>2.166777003480252E-4</v>
      </c>
      <c r="Z113" s="124">
        <v>9.2697653123566755E-5</v>
      </c>
      <c r="AA113" s="124">
        <v>6.6244513180613602E-5</v>
      </c>
      <c r="AB113" s="124">
        <v>4.4584205796873804E-5</v>
      </c>
      <c r="AC113" s="124">
        <v>1.940535686521794E-5</v>
      </c>
    </row>
    <row r="114" spans="1:29" ht="15.75" customHeight="1">
      <c r="A114" s="141" t="s">
        <v>484</v>
      </c>
      <c r="B114" s="124">
        <v>0</v>
      </c>
      <c r="C114" s="124">
        <v>0</v>
      </c>
      <c r="D114" s="124">
        <v>0</v>
      </c>
      <c r="E114" s="124">
        <v>0</v>
      </c>
      <c r="F114" s="124">
        <v>0</v>
      </c>
      <c r="G114" s="124">
        <v>0</v>
      </c>
      <c r="H114" s="124">
        <v>0</v>
      </c>
      <c r="I114" s="124">
        <v>0</v>
      </c>
      <c r="J114" s="124">
        <v>0</v>
      </c>
      <c r="K114" s="124">
        <v>0</v>
      </c>
      <c r="L114" s="124">
        <v>0</v>
      </c>
      <c r="M114" s="124">
        <v>0</v>
      </c>
      <c r="N114" s="124">
        <v>0</v>
      </c>
      <c r="O114" s="124">
        <v>0</v>
      </c>
      <c r="P114" s="124">
        <v>0</v>
      </c>
      <c r="Q114" s="124">
        <v>4.7189536030300243E-5</v>
      </c>
      <c r="R114" s="124">
        <v>8.9548507842250935E-5</v>
      </c>
      <c r="S114" s="124">
        <v>6.3558927707052444E-5</v>
      </c>
      <c r="T114" s="124">
        <v>6.5428913626836252E-5</v>
      </c>
      <c r="U114" s="124">
        <v>0</v>
      </c>
      <c r="V114" s="124">
        <v>0</v>
      </c>
      <c r="W114" s="124">
        <v>7.8219723304876466E-7</v>
      </c>
      <c r="X114" s="124">
        <v>0</v>
      </c>
      <c r="Y114" s="124">
        <v>0</v>
      </c>
      <c r="Z114" s="124">
        <v>0</v>
      </c>
      <c r="AA114" s="124">
        <v>0</v>
      </c>
      <c r="AB114" s="124">
        <v>0</v>
      </c>
      <c r="AC114" s="124">
        <v>0</v>
      </c>
    </row>
    <row r="115" spans="1:29" ht="18">
      <c r="A115" s="141" t="s">
        <v>485</v>
      </c>
      <c r="B115" s="124">
        <v>0</v>
      </c>
      <c r="C115" s="124">
        <v>0</v>
      </c>
      <c r="D115" s="124">
        <v>0</v>
      </c>
      <c r="E115" s="124">
        <v>0</v>
      </c>
      <c r="F115" s="124">
        <v>0</v>
      </c>
      <c r="G115" s="124">
        <v>0</v>
      </c>
      <c r="H115" s="124">
        <v>0</v>
      </c>
      <c r="I115" s="124">
        <v>0</v>
      </c>
      <c r="J115" s="124">
        <v>0</v>
      </c>
      <c r="K115" s="124">
        <v>0</v>
      </c>
      <c r="L115" s="124">
        <v>0</v>
      </c>
      <c r="M115" s="124">
        <v>0</v>
      </c>
      <c r="N115" s="124">
        <v>0</v>
      </c>
      <c r="O115" s="124">
        <v>0</v>
      </c>
      <c r="P115" s="124">
        <v>0</v>
      </c>
      <c r="Q115" s="124">
        <v>2.7835260742004619E-9</v>
      </c>
      <c r="R115" s="124">
        <v>9.0797316918905847E-8</v>
      </c>
      <c r="S115" s="124">
        <v>1.443665020287861E-7</v>
      </c>
      <c r="T115" s="124">
        <v>8.3163998324617212E-7</v>
      </c>
      <c r="U115" s="124">
        <v>9.0221595032279045E-7</v>
      </c>
      <c r="V115" s="124">
        <v>9.5674371596451256E-7</v>
      </c>
      <c r="W115" s="124">
        <v>9.4708944895612322E-7</v>
      </c>
      <c r="X115" s="124">
        <v>9.6592741426943044E-7</v>
      </c>
      <c r="Y115" s="124">
        <v>1.0342807640673267E-6</v>
      </c>
      <c r="Z115" s="124">
        <v>9.7156125932050066E-7</v>
      </c>
      <c r="AA115" s="124">
        <v>8.9019994942273285E-7</v>
      </c>
      <c r="AB115" s="124">
        <v>1.1056376717700756E-6</v>
      </c>
      <c r="AC115" s="124">
        <v>9.0826736479806368E-7</v>
      </c>
    </row>
    <row r="116" spans="1:29" ht="15.75" customHeight="1">
      <c r="A116" s="141" t="s">
        <v>486</v>
      </c>
      <c r="B116" s="124">
        <v>0</v>
      </c>
      <c r="C116" s="124">
        <v>0</v>
      </c>
      <c r="D116" s="124">
        <v>0</v>
      </c>
      <c r="E116" s="124">
        <v>0</v>
      </c>
      <c r="F116" s="124">
        <v>0</v>
      </c>
      <c r="G116" s="124">
        <v>0</v>
      </c>
      <c r="H116" s="124">
        <v>0</v>
      </c>
      <c r="I116" s="124">
        <v>-3.0785272490674031E-5</v>
      </c>
      <c r="J116" s="124">
        <v>-8.0761023226367462E-6</v>
      </c>
      <c r="K116" s="124">
        <v>4.5705184554944058E-5</v>
      </c>
      <c r="L116" s="124">
        <v>1.7126882287992165E-4</v>
      </c>
      <c r="M116" s="124">
        <v>-4.456961356637955E-4</v>
      </c>
      <c r="N116" s="124">
        <v>-1.2743890633716715E-3</v>
      </c>
      <c r="O116" s="124">
        <v>-5.9938126027550577E-6</v>
      </c>
      <c r="P116" s="124">
        <v>0</v>
      </c>
      <c r="Q116" s="124">
        <v>-7.0843050583184636E-6</v>
      </c>
      <c r="R116" s="124">
        <v>0</v>
      </c>
      <c r="S116" s="124">
        <v>0</v>
      </c>
      <c r="T116" s="124">
        <v>0</v>
      </c>
      <c r="U116" s="124">
        <v>0</v>
      </c>
      <c r="V116" s="124">
        <v>0</v>
      </c>
      <c r="W116" s="124">
        <v>0</v>
      </c>
      <c r="X116" s="124">
        <v>0</v>
      </c>
      <c r="Y116" s="124">
        <v>0</v>
      </c>
      <c r="Z116" s="124">
        <v>0</v>
      </c>
      <c r="AA116" s="124">
        <v>0</v>
      </c>
      <c r="AB116" s="124">
        <v>0</v>
      </c>
      <c r="AC116" s="124">
        <v>0</v>
      </c>
    </row>
    <row r="117" spans="1:29" ht="15.75" customHeight="1">
      <c r="A117" s="141" t="s">
        <v>487</v>
      </c>
      <c r="B117" s="124">
        <v>0</v>
      </c>
      <c r="C117" s="124">
        <v>0</v>
      </c>
      <c r="D117" s="124">
        <v>0</v>
      </c>
      <c r="E117" s="124">
        <v>0</v>
      </c>
      <c r="F117" s="124">
        <v>0</v>
      </c>
      <c r="G117" s="124">
        <v>0</v>
      </c>
      <c r="H117" s="124">
        <v>0</v>
      </c>
      <c r="I117" s="124">
        <v>0</v>
      </c>
      <c r="J117" s="124">
        <v>0</v>
      </c>
      <c r="K117" s="124">
        <v>0</v>
      </c>
      <c r="L117" s="124">
        <v>0</v>
      </c>
      <c r="M117" s="124">
        <v>0</v>
      </c>
      <c r="N117" s="124">
        <v>0</v>
      </c>
      <c r="O117" s="124">
        <v>0</v>
      </c>
      <c r="P117" s="124">
        <v>0</v>
      </c>
      <c r="Q117" s="124">
        <v>1.1072130906638546E-5</v>
      </c>
      <c r="R117" s="124">
        <v>4.6890072230871349E-5</v>
      </c>
      <c r="S117" s="124">
        <v>2.1630215715513541E-5</v>
      </c>
      <c r="T117" s="124">
        <v>8.651691663224184E-5</v>
      </c>
      <c r="U117" s="124">
        <v>1.1162001763608836E-4</v>
      </c>
      <c r="V117" s="124">
        <v>8.9665497247423646E-5</v>
      </c>
      <c r="W117" s="124">
        <v>9.2921001714544061E-5</v>
      </c>
      <c r="X117" s="124">
        <v>5.7011296300088489E-5</v>
      </c>
      <c r="Y117" s="124">
        <v>9.2948417629274972E-5</v>
      </c>
      <c r="Z117" s="124">
        <v>4.7158600034680212E-5</v>
      </c>
      <c r="AA117" s="124">
        <v>3.9403462410707722E-5</v>
      </c>
      <c r="AB117" s="124">
        <v>1.823166774314846E-4</v>
      </c>
      <c r="AC117" s="124">
        <v>7.4633683086165501E-5</v>
      </c>
    </row>
    <row r="118" spans="1:29" ht="15.75" customHeight="1">
      <c r="A118" s="141" t="s">
        <v>488</v>
      </c>
      <c r="B118" s="124">
        <v>0</v>
      </c>
      <c r="C118" s="124">
        <v>0</v>
      </c>
      <c r="D118" s="124">
        <v>0</v>
      </c>
      <c r="E118" s="124">
        <v>0</v>
      </c>
      <c r="F118" s="124">
        <v>0</v>
      </c>
      <c r="G118" s="124">
        <v>0</v>
      </c>
      <c r="H118" s="124">
        <v>0</v>
      </c>
      <c r="I118" s="124">
        <v>0</v>
      </c>
      <c r="J118" s="124">
        <v>5.4870243388029213E-4</v>
      </c>
      <c r="K118" s="124">
        <v>6.1526460994503537E-4</v>
      </c>
      <c r="L118" s="124">
        <v>1.8329404599652451E-4</v>
      </c>
      <c r="M118" s="124">
        <v>2.0088731734171927E-4</v>
      </c>
      <c r="N118" s="124">
        <v>1.6958304691662993E-4</v>
      </c>
      <c r="O118" s="124">
        <v>1.3330374422350453E-4</v>
      </c>
      <c r="P118" s="124">
        <v>1.2276459471269956E-4</v>
      </c>
      <c r="Q118" s="124">
        <v>1.3858020382545607E-4</v>
      </c>
      <c r="R118" s="124">
        <v>1.4126695415645431E-4</v>
      </c>
      <c r="S118" s="124">
        <v>0</v>
      </c>
      <c r="T118" s="124">
        <v>0</v>
      </c>
      <c r="U118" s="124">
        <v>0</v>
      </c>
      <c r="V118" s="124">
        <v>0</v>
      </c>
      <c r="W118" s="124">
        <v>0</v>
      </c>
      <c r="X118" s="124">
        <v>0</v>
      </c>
      <c r="Y118" s="124">
        <v>0</v>
      </c>
      <c r="Z118" s="124">
        <v>0</v>
      </c>
      <c r="AA118" s="124">
        <v>0</v>
      </c>
      <c r="AB118" s="124">
        <v>0</v>
      </c>
      <c r="AC118" s="124">
        <v>0</v>
      </c>
    </row>
    <row r="119" spans="1:29" ht="15.75" customHeight="1">
      <c r="A119" s="141" t="s">
        <v>489</v>
      </c>
      <c r="B119" s="124">
        <v>0</v>
      </c>
      <c r="C119" s="124">
        <v>0</v>
      </c>
      <c r="D119" s="124">
        <v>0</v>
      </c>
      <c r="E119" s="124">
        <v>0</v>
      </c>
      <c r="F119" s="124">
        <v>0</v>
      </c>
      <c r="G119" s="124">
        <v>0</v>
      </c>
      <c r="H119" s="124">
        <v>0</v>
      </c>
      <c r="I119" s="124">
        <v>0</v>
      </c>
      <c r="J119" s="124">
        <v>0</v>
      </c>
      <c r="K119" s="124">
        <v>0</v>
      </c>
      <c r="L119" s="124">
        <v>0</v>
      </c>
      <c r="M119" s="124">
        <v>0</v>
      </c>
      <c r="N119" s="124">
        <v>0</v>
      </c>
      <c r="O119" s="124">
        <v>0</v>
      </c>
      <c r="P119" s="124">
        <v>2.2505530900476988E-5</v>
      </c>
      <c r="Q119" s="124">
        <v>7.6451236316647976E-5</v>
      </c>
      <c r="R119" s="124">
        <v>8.8694758849624429E-5</v>
      </c>
      <c r="S119" s="124">
        <v>7.0312677609490125E-5</v>
      </c>
      <c r="T119" s="124">
        <v>1.3217782687013007E-4</v>
      </c>
      <c r="U119" s="124">
        <v>3.225226052596706E-5</v>
      </c>
      <c r="V119" s="124">
        <v>0</v>
      </c>
      <c r="W119" s="124">
        <v>0</v>
      </c>
      <c r="X119" s="124">
        <v>0</v>
      </c>
      <c r="Y119" s="124">
        <v>0</v>
      </c>
      <c r="Z119" s="124">
        <v>0</v>
      </c>
      <c r="AA119" s="124">
        <v>0</v>
      </c>
      <c r="AB119" s="124">
        <v>0</v>
      </c>
      <c r="AC119" s="124">
        <v>0</v>
      </c>
    </row>
    <row r="120" spans="1:29" ht="15.75" customHeight="1">
      <c r="A120" s="141" t="s">
        <v>490</v>
      </c>
      <c r="B120" s="124">
        <v>0</v>
      </c>
      <c r="C120" s="124">
        <v>0</v>
      </c>
      <c r="D120" s="124">
        <v>0</v>
      </c>
      <c r="E120" s="124">
        <v>0</v>
      </c>
      <c r="F120" s="124">
        <v>0</v>
      </c>
      <c r="G120" s="124">
        <v>0</v>
      </c>
      <c r="H120" s="124">
        <v>0</v>
      </c>
      <c r="I120" s="124">
        <v>0</v>
      </c>
      <c r="J120" s="124">
        <v>0</v>
      </c>
      <c r="K120" s="124">
        <v>0</v>
      </c>
      <c r="L120" s="124">
        <v>0</v>
      </c>
      <c r="M120" s="124">
        <v>0</v>
      </c>
      <c r="N120" s="124">
        <v>0</v>
      </c>
      <c r="O120" s="124">
        <v>0</v>
      </c>
      <c r="P120" s="124">
        <v>0</v>
      </c>
      <c r="Q120" s="124">
        <v>0</v>
      </c>
      <c r="R120" s="124">
        <v>0</v>
      </c>
      <c r="S120" s="124">
        <v>2.6476483516957567E-5</v>
      </c>
      <c r="T120" s="124">
        <v>0</v>
      </c>
      <c r="U120" s="124">
        <v>0</v>
      </c>
      <c r="V120" s="124">
        <v>0</v>
      </c>
      <c r="W120" s="124">
        <v>0</v>
      </c>
      <c r="X120" s="124">
        <v>0</v>
      </c>
      <c r="Y120" s="124">
        <v>0</v>
      </c>
      <c r="Z120" s="124">
        <v>0</v>
      </c>
      <c r="AA120" s="124">
        <v>0</v>
      </c>
      <c r="AB120" s="124">
        <v>0</v>
      </c>
      <c r="AC120" s="124">
        <v>0</v>
      </c>
    </row>
    <row r="121" spans="1:29" ht="15.75" customHeight="1">
      <c r="A121" s="141" t="s">
        <v>491</v>
      </c>
      <c r="B121" s="124">
        <v>0</v>
      </c>
      <c r="C121" s="124">
        <v>0</v>
      </c>
      <c r="D121" s="124">
        <v>0</v>
      </c>
      <c r="E121" s="124">
        <v>0</v>
      </c>
      <c r="F121" s="124">
        <v>0</v>
      </c>
      <c r="G121" s="124">
        <v>0</v>
      </c>
      <c r="H121" s="124">
        <v>0</v>
      </c>
      <c r="I121" s="124">
        <v>0</v>
      </c>
      <c r="J121" s="124">
        <v>0</v>
      </c>
      <c r="K121" s="124">
        <v>0</v>
      </c>
      <c r="L121" s="124">
        <v>0</v>
      </c>
      <c r="M121" s="124">
        <v>0</v>
      </c>
      <c r="N121" s="124">
        <v>0</v>
      </c>
      <c r="O121" s="124">
        <v>0</v>
      </c>
      <c r="P121" s="124">
        <v>0</v>
      </c>
      <c r="Q121" s="124">
        <v>0</v>
      </c>
      <c r="R121" s="124">
        <v>0</v>
      </c>
      <c r="S121" s="124">
        <v>3.5957667418248769E-7</v>
      </c>
      <c r="T121" s="124">
        <v>2.7536431332123137E-6</v>
      </c>
      <c r="U121" s="124">
        <v>1.091101521292357E-5</v>
      </c>
      <c r="V121" s="124">
        <v>7.1739932416453237E-6</v>
      </c>
      <c r="W121" s="124">
        <v>6.3688648516183686E-6</v>
      </c>
      <c r="X121" s="124">
        <v>5.4309644818814576E-6</v>
      </c>
      <c r="Y121" s="124">
        <v>4.7090288352048632E-6</v>
      </c>
      <c r="Z121" s="124">
        <v>3.5322150208604543E-6</v>
      </c>
      <c r="AA121" s="124">
        <v>2.6140966281622768E-6</v>
      </c>
      <c r="AB121" s="124">
        <v>2.2611624791981485E-6</v>
      </c>
      <c r="AC121" s="124">
        <v>1.5356222908681714E-6</v>
      </c>
    </row>
    <row r="122" spans="1:29" ht="15.75" customHeight="1">
      <c r="A122" s="141" t="s">
        <v>492</v>
      </c>
      <c r="B122" s="124">
        <v>0</v>
      </c>
      <c r="C122" s="124">
        <v>0</v>
      </c>
      <c r="D122" s="124">
        <v>0</v>
      </c>
      <c r="E122" s="124">
        <v>0</v>
      </c>
      <c r="F122" s="124">
        <v>0</v>
      </c>
      <c r="G122" s="124">
        <v>0</v>
      </c>
      <c r="H122" s="124">
        <v>0</v>
      </c>
      <c r="I122" s="124">
        <v>0</v>
      </c>
      <c r="J122" s="124">
        <v>0</v>
      </c>
      <c r="K122" s="124">
        <v>0</v>
      </c>
      <c r="L122" s="124">
        <v>0</v>
      </c>
      <c r="M122" s="124">
        <v>0</v>
      </c>
      <c r="N122" s="124">
        <v>0</v>
      </c>
      <c r="O122" s="124">
        <v>0</v>
      </c>
      <c r="P122" s="124">
        <v>0</v>
      </c>
      <c r="Q122" s="124">
        <v>0</v>
      </c>
      <c r="R122" s="124">
        <v>0</v>
      </c>
      <c r="S122" s="124">
        <v>0</v>
      </c>
      <c r="T122" s="124">
        <v>0</v>
      </c>
      <c r="U122" s="124">
        <v>0</v>
      </c>
      <c r="V122" s="124">
        <v>0</v>
      </c>
      <c r="W122" s="124">
        <v>5.0994465955987702E-5</v>
      </c>
      <c r="X122" s="124">
        <v>5.7770496467254988E-6</v>
      </c>
      <c r="Y122" s="124">
        <v>2.4625584467327248E-6</v>
      </c>
      <c r="Z122" s="124">
        <v>6.9209423137087819E-7</v>
      </c>
      <c r="AA122" s="124">
        <v>1.0420069663244974E-5</v>
      </c>
      <c r="AB122" s="124">
        <v>6.4462887362849294E-6</v>
      </c>
      <c r="AC122" s="124">
        <v>3.4130906473867036E-9</v>
      </c>
    </row>
    <row r="123" spans="1:29" ht="18">
      <c r="A123" s="141" t="s">
        <v>493</v>
      </c>
      <c r="B123" s="124">
        <v>0</v>
      </c>
      <c r="C123" s="124">
        <v>0</v>
      </c>
      <c r="D123" s="124">
        <v>0</v>
      </c>
      <c r="E123" s="124">
        <v>0</v>
      </c>
      <c r="F123" s="124">
        <v>0</v>
      </c>
      <c r="G123" s="124">
        <v>0</v>
      </c>
      <c r="H123" s="124">
        <v>0</v>
      </c>
      <c r="I123" s="124">
        <v>0</v>
      </c>
      <c r="J123" s="124">
        <v>0</v>
      </c>
      <c r="K123" s="124">
        <v>0</v>
      </c>
      <c r="L123" s="124">
        <v>0</v>
      </c>
      <c r="M123" s="124">
        <v>0</v>
      </c>
      <c r="N123" s="124">
        <v>0</v>
      </c>
      <c r="O123" s="124">
        <v>0</v>
      </c>
      <c r="P123" s="124">
        <v>0</v>
      </c>
      <c r="Q123" s="124">
        <v>0</v>
      </c>
      <c r="R123" s="124">
        <v>0</v>
      </c>
      <c r="S123" s="124">
        <v>0</v>
      </c>
      <c r="T123" s="124">
        <v>-3.9083979292576127E-5</v>
      </c>
      <c r="U123" s="124">
        <v>-1.8033390115832558E-6</v>
      </c>
      <c r="V123" s="124">
        <v>-2.5579299121054749E-6</v>
      </c>
      <c r="W123" s="124">
        <v>-1.0113418118093055E-5</v>
      </c>
      <c r="X123" s="124">
        <v>-6.6050747230778715E-6</v>
      </c>
      <c r="Y123" s="124">
        <v>-2.2824929091101255E-5</v>
      </c>
      <c r="Z123" s="124">
        <v>-3.2978316085520708E-5</v>
      </c>
      <c r="AA123" s="124">
        <v>-2.2934215701341033E-5</v>
      </c>
      <c r="AB123" s="124">
        <v>-1.5899907078711213E-5</v>
      </c>
      <c r="AC123" s="124">
        <v>-1.473265454182351E-5</v>
      </c>
    </row>
    <row r="124" spans="1:29" ht="15.75" customHeight="1">
      <c r="A124" s="139" t="s">
        <v>494</v>
      </c>
      <c r="B124" s="124">
        <v>0</v>
      </c>
      <c r="C124" s="124">
        <v>0</v>
      </c>
      <c r="D124" s="124">
        <v>0</v>
      </c>
      <c r="E124" s="124">
        <v>0</v>
      </c>
      <c r="F124" s="124">
        <v>0</v>
      </c>
      <c r="G124" s="124">
        <v>0</v>
      </c>
      <c r="H124" s="124">
        <v>1.7462669505730762E-5</v>
      </c>
      <c r="I124" s="124">
        <v>1.0215802634970697E-5</v>
      </c>
      <c r="J124" s="124">
        <v>3.851957842051983E-4</v>
      </c>
      <c r="K124" s="124">
        <v>2.3366329176061578E-4</v>
      </c>
      <c r="L124" s="124">
        <v>1.8380576123580497E-5</v>
      </c>
      <c r="M124" s="124">
        <v>1.8650698562267445E-5</v>
      </c>
      <c r="N124" s="124">
        <v>1.0857327545127386E-4</v>
      </c>
      <c r="O124" s="124">
        <v>0</v>
      </c>
      <c r="P124" s="124">
        <v>0</v>
      </c>
      <c r="Q124" s="124">
        <v>1.2497756898488836E-4</v>
      </c>
      <c r="R124" s="124">
        <v>8.0577775724418563E-5</v>
      </c>
      <c r="S124" s="124">
        <v>0</v>
      </c>
      <c r="T124" s="124">
        <v>1.7845864105059826E-4</v>
      </c>
      <c r="U124" s="124">
        <v>1.7989168853207541E-4</v>
      </c>
      <c r="V124" s="124">
        <v>1.0014457566199838E-4</v>
      </c>
      <c r="W124" s="124">
        <v>2.3057788243049174E-5</v>
      </c>
      <c r="X124" s="124">
        <v>3.8680461886674818E-5</v>
      </c>
      <c r="Y124" s="124">
        <v>2.5507264048978188E-4</v>
      </c>
      <c r="Z124" s="124">
        <v>1.8916131283055118E-4</v>
      </c>
      <c r="AA124" s="124">
        <v>4.9614506458641762E-4</v>
      </c>
      <c r="AB124" s="124">
        <v>8.5943025522931566E-4</v>
      </c>
      <c r="AC124" s="124">
        <v>4.6327433818429606E-4</v>
      </c>
    </row>
    <row r="125" spans="1:29" ht="15.75" customHeight="1">
      <c r="A125" s="139" t="s">
        <v>495</v>
      </c>
      <c r="B125" s="124">
        <v>0</v>
      </c>
      <c r="C125" s="124">
        <v>0</v>
      </c>
      <c r="D125" s="124">
        <v>0</v>
      </c>
      <c r="E125" s="124">
        <v>0</v>
      </c>
      <c r="F125" s="124">
        <v>0</v>
      </c>
      <c r="G125" s="124">
        <v>0</v>
      </c>
      <c r="H125" s="124">
        <v>0</v>
      </c>
      <c r="I125" s="124">
        <v>2.0826985042853736E-5</v>
      </c>
      <c r="J125" s="124">
        <v>-1.0054135839933491E-5</v>
      </c>
      <c r="K125" s="124">
        <v>-3.6250470883015875E-5</v>
      </c>
      <c r="L125" s="124">
        <v>-2.5527772382273755E-5</v>
      </c>
      <c r="M125" s="124">
        <v>-8.3928516818659524E-6</v>
      </c>
      <c r="N125" s="124">
        <v>-1.799279831099522E-5</v>
      </c>
      <c r="O125" s="124">
        <v>-8.9479851037521377E-6</v>
      </c>
      <c r="P125" s="124">
        <v>-4.2853648288990098E-6</v>
      </c>
      <c r="Q125" s="124">
        <v>2.744433785069895E-6</v>
      </c>
      <c r="R125" s="124">
        <v>-1.1570091065080733E-5</v>
      </c>
      <c r="S125" s="124">
        <v>-1.4422628841223675E-5</v>
      </c>
      <c r="T125" s="124">
        <v>-2.2503100454729131E-5</v>
      </c>
      <c r="U125" s="124">
        <v>-1.7002449093234932E-5</v>
      </c>
      <c r="V125" s="124">
        <v>-2.5710532086793699E-5</v>
      </c>
      <c r="W125" s="124">
        <v>-9.6748971302878801E-6</v>
      </c>
      <c r="X125" s="124">
        <v>-6.1209455284182201E-6</v>
      </c>
      <c r="Y125" s="124">
        <v>2.7992022965720989E-6</v>
      </c>
      <c r="Z125" s="124">
        <v>-1.463858781968531E-5</v>
      </c>
      <c r="AA125" s="124">
        <v>1.0163210397575346E-5</v>
      </c>
      <c r="AB125" s="124">
        <v>6.1103469477765157E-6</v>
      </c>
      <c r="AC125" s="124">
        <v>-1.1818547116596678E-6</v>
      </c>
    </row>
    <row r="126" spans="1:29" ht="15.75" customHeight="1">
      <c r="A126" s="139" t="s">
        <v>496</v>
      </c>
      <c r="B126" s="124">
        <v>0</v>
      </c>
      <c r="C126" s="124">
        <v>0</v>
      </c>
      <c r="D126" s="124">
        <v>0</v>
      </c>
      <c r="E126" s="124">
        <v>0</v>
      </c>
      <c r="F126" s="124">
        <v>0</v>
      </c>
      <c r="G126" s="124">
        <v>0</v>
      </c>
      <c r="H126" s="124">
        <v>0</v>
      </c>
      <c r="I126" s="124">
        <v>0</v>
      </c>
      <c r="J126" s="124">
        <v>0</v>
      </c>
      <c r="K126" s="124">
        <v>0</v>
      </c>
      <c r="L126" s="124">
        <v>0</v>
      </c>
      <c r="M126" s="124">
        <v>0</v>
      </c>
      <c r="N126" s="124">
        <v>0</v>
      </c>
      <c r="O126" s="124">
        <v>0</v>
      </c>
      <c r="P126" s="124">
        <v>0</v>
      </c>
      <c r="Q126" s="124">
        <v>0</v>
      </c>
      <c r="R126" s="124">
        <v>0</v>
      </c>
      <c r="S126" s="124">
        <v>0</v>
      </c>
      <c r="T126" s="124">
        <v>0</v>
      </c>
      <c r="U126" s="124">
        <v>2.3256118326345354E-5</v>
      </c>
      <c r="V126" s="124">
        <v>0</v>
      </c>
      <c r="W126" s="124">
        <v>3.6718043940565349E-7</v>
      </c>
      <c r="X126" s="124">
        <v>0</v>
      </c>
      <c r="Y126" s="124">
        <v>1.5485561765844244E-3</v>
      </c>
      <c r="Z126" s="124">
        <v>-3.2701399959787422E-4</v>
      </c>
      <c r="AA126" s="124">
        <v>-3.9040836576036727E-4</v>
      </c>
      <c r="AB126" s="124">
        <v>-2.3968043590297713E-4</v>
      </c>
      <c r="AC126" s="124">
        <v>6.2678460130464707E-5</v>
      </c>
    </row>
    <row r="127" spans="1:29" ht="15.75" customHeight="1">
      <c r="A127" s="126" t="s">
        <v>497</v>
      </c>
      <c r="B127" s="124">
        <v>0</v>
      </c>
      <c r="C127" s="124">
        <v>0</v>
      </c>
      <c r="D127" s="124">
        <v>0</v>
      </c>
      <c r="E127" s="124">
        <v>0</v>
      </c>
      <c r="F127" s="124">
        <v>0</v>
      </c>
      <c r="G127" s="124">
        <v>0</v>
      </c>
      <c r="H127" s="124">
        <v>0</v>
      </c>
      <c r="I127" s="124">
        <v>0</v>
      </c>
      <c r="J127" s="124">
        <v>0</v>
      </c>
      <c r="K127" s="124">
        <v>7.3487333236060321E-6</v>
      </c>
      <c r="L127" s="124">
        <v>1.1440727992603764E-4</v>
      </c>
      <c r="M127" s="124">
        <v>1.143582388138169E-4</v>
      </c>
      <c r="N127" s="124">
        <v>8.2891910163178616E-6</v>
      </c>
      <c r="O127" s="124">
        <v>8.1555515699230146E-6</v>
      </c>
      <c r="P127" s="124">
        <v>4.4059303256992508E-5</v>
      </c>
      <c r="Q127" s="124">
        <v>2.3392388826971694E-5</v>
      </c>
      <c r="R127" s="124">
        <v>4.940672317328463E-5</v>
      </c>
      <c r="S127" s="124">
        <v>4.1441801734612461E-5</v>
      </c>
      <c r="T127" s="124">
        <v>4.6483234701753456E-5</v>
      </c>
      <c r="U127" s="124">
        <v>4.5327052414568415E-5</v>
      </c>
      <c r="V127" s="124">
        <v>4.6061936666043777E-5</v>
      </c>
      <c r="W127" s="124">
        <v>4.3234487414603754E-5</v>
      </c>
      <c r="X127" s="124">
        <v>3.0332820272990635E-5</v>
      </c>
      <c r="Y127" s="124">
        <v>1.0122541840805919E-5</v>
      </c>
      <c r="Z127" s="124">
        <v>1.7131939713362072E-5</v>
      </c>
      <c r="AA127" s="124">
        <v>1.3381480983279512E-5</v>
      </c>
      <c r="AB127" s="124">
        <v>1.3143199011343437E-5</v>
      </c>
      <c r="AC127" s="124">
        <v>9.8009123469322683E-6</v>
      </c>
    </row>
    <row r="128" spans="1:29" ht="15.75" customHeight="1">
      <c r="A128" s="126" t="s">
        <v>498</v>
      </c>
      <c r="B128" s="124">
        <v>0</v>
      </c>
      <c r="C128" s="124">
        <v>0</v>
      </c>
      <c r="D128" s="124">
        <v>0</v>
      </c>
      <c r="E128" s="124">
        <v>0</v>
      </c>
      <c r="F128" s="124">
        <v>0</v>
      </c>
      <c r="G128" s="124">
        <v>0</v>
      </c>
      <c r="H128" s="124">
        <v>0</v>
      </c>
      <c r="I128" s="124">
        <v>0</v>
      </c>
      <c r="J128" s="124">
        <v>0</v>
      </c>
      <c r="K128" s="124">
        <v>0</v>
      </c>
      <c r="L128" s="124">
        <v>0</v>
      </c>
      <c r="M128" s="124">
        <v>0</v>
      </c>
      <c r="N128" s="124">
        <v>0</v>
      </c>
      <c r="O128" s="124">
        <v>0</v>
      </c>
      <c r="P128" s="124">
        <v>0</v>
      </c>
      <c r="Q128" s="124">
        <v>0</v>
      </c>
      <c r="R128" s="124">
        <v>0</v>
      </c>
      <c r="S128" s="124">
        <v>7.8302880625491708E-6</v>
      </c>
      <c r="T128" s="124">
        <v>1.4067378217380003E-4</v>
      </c>
      <c r="U128" s="124">
        <v>1.3552572781335806E-4</v>
      </c>
      <c r="V128" s="124">
        <v>1.3563030908929195E-4</v>
      </c>
      <c r="W128" s="124">
        <v>1.3095406032716416E-4</v>
      </c>
      <c r="X128" s="124">
        <v>1.3152601384275198E-4</v>
      </c>
      <c r="Y128" s="124">
        <v>2.5296784230811892E-4</v>
      </c>
      <c r="Z128" s="124">
        <v>1.3287280489533715E-4</v>
      </c>
      <c r="AA128" s="124">
        <v>1.5846140052089126E-4</v>
      </c>
      <c r="AB128" s="124">
        <v>1.8337429504942769E-4</v>
      </c>
      <c r="AC128" s="124">
        <v>1.9486864463327342E-4</v>
      </c>
    </row>
    <row r="129" spans="1:29" ht="15.75" customHeight="1">
      <c r="A129" s="126" t="s">
        <v>499</v>
      </c>
      <c r="B129" s="124">
        <v>0</v>
      </c>
      <c r="C129" s="124">
        <v>0</v>
      </c>
      <c r="D129" s="124">
        <v>0</v>
      </c>
      <c r="E129" s="124">
        <v>0</v>
      </c>
      <c r="F129" s="124">
        <v>0</v>
      </c>
      <c r="G129" s="124">
        <v>0</v>
      </c>
      <c r="H129" s="124">
        <v>0</v>
      </c>
      <c r="I129" s="124">
        <v>0</v>
      </c>
      <c r="J129" s="124">
        <v>0</v>
      </c>
      <c r="K129" s="124">
        <v>0</v>
      </c>
      <c r="L129" s="124">
        <v>0</v>
      </c>
      <c r="M129" s="124">
        <v>0</v>
      </c>
      <c r="N129" s="124">
        <v>0</v>
      </c>
      <c r="O129" s="124">
        <v>2.2689929979948184E-4</v>
      </c>
      <c r="P129" s="124">
        <v>3.7303157483517465E-4</v>
      </c>
      <c r="Q129" s="124">
        <v>6.8011128173718941E-4</v>
      </c>
      <c r="R129" s="124">
        <v>9.0675365835484964E-4</v>
      </c>
      <c r="S129" s="124">
        <v>1.0852799205629414E-3</v>
      </c>
      <c r="T129" s="124">
        <v>9.6090916352583656E-4</v>
      </c>
      <c r="U129" s="124">
        <v>1.1197799445838838E-3</v>
      </c>
      <c r="V129" s="124">
        <v>9.4420449357822346E-4</v>
      </c>
      <c r="W129" s="124">
        <v>4.0473642379111537E-4</v>
      </c>
      <c r="X129" s="124">
        <v>2.6282945769621352E-4</v>
      </c>
      <c r="Y129" s="124">
        <v>-2.3863065307941457E-5</v>
      </c>
      <c r="Z129" s="124">
        <v>-1.4808891917363201E-4</v>
      </c>
      <c r="AA129" s="124">
        <v>7.1997664628067244E-5</v>
      </c>
      <c r="AB129" s="124">
        <v>1.4715298429369007E-4</v>
      </c>
      <c r="AC129" s="124">
        <v>1.2755184653453502E-4</v>
      </c>
    </row>
    <row r="130" spans="1:29" ht="15.75" customHeight="1">
      <c r="A130" s="126" t="s">
        <v>500</v>
      </c>
      <c r="B130" s="124">
        <v>0</v>
      </c>
      <c r="C130" s="124">
        <v>0</v>
      </c>
      <c r="D130" s="124">
        <v>0</v>
      </c>
      <c r="E130" s="124">
        <v>0</v>
      </c>
      <c r="F130" s="124">
        <v>0</v>
      </c>
      <c r="G130" s="124">
        <v>0</v>
      </c>
      <c r="H130" s="124">
        <v>0</v>
      </c>
      <c r="I130" s="124">
        <v>0</v>
      </c>
      <c r="J130" s="124">
        <v>0</v>
      </c>
      <c r="K130" s="124">
        <v>0</v>
      </c>
      <c r="L130" s="124">
        <v>0</v>
      </c>
      <c r="M130" s="124">
        <v>0</v>
      </c>
      <c r="N130" s="124">
        <v>0</v>
      </c>
      <c r="O130" s="124">
        <v>0</v>
      </c>
      <c r="P130" s="124">
        <v>0</v>
      </c>
      <c r="Q130" s="124">
        <v>0</v>
      </c>
      <c r="R130" s="124">
        <v>0</v>
      </c>
      <c r="S130" s="124">
        <v>0</v>
      </c>
      <c r="T130" s="124">
        <v>0</v>
      </c>
      <c r="U130" s="124">
        <v>0</v>
      </c>
      <c r="V130" s="124">
        <v>0</v>
      </c>
      <c r="W130" s="124">
        <v>2.4502782440075489E-4</v>
      </c>
      <c r="X130" s="124">
        <v>0</v>
      </c>
      <c r="Y130" s="124">
        <v>2.6741952613863951E-4</v>
      </c>
      <c r="Z130" s="124">
        <v>0</v>
      </c>
      <c r="AA130" s="124">
        <v>4.9223005210575685E-4</v>
      </c>
      <c r="AB130" s="124">
        <v>0</v>
      </c>
      <c r="AC130" s="124">
        <v>4.218645061323939E-4</v>
      </c>
    </row>
    <row r="131" spans="1:29" ht="15.75" customHeight="1">
      <c r="A131" s="126" t="s">
        <v>501</v>
      </c>
      <c r="B131" s="124">
        <v>9.1518630817364601E-4</v>
      </c>
      <c r="C131" s="124">
        <v>1.3675947846612612E-4</v>
      </c>
      <c r="D131" s="124">
        <v>0</v>
      </c>
      <c r="E131" s="124">
        <v>0</v>
      </c>
      <c r="F131" s="124">
        <v>0</v>
      </c>
      <c r="G131" s="124">
        <v>0</v>
      </c>
      <c r="H131" s="124">
        <v>0</v>
      </c>
      <c r="I131" s="124">
        <v>2.3709201803920769E-5</v>
      </c>
      <c r="J131" s="124">
        <v>2.9806512727976926E-5</v>
      </c>
      <c r="K131" s="124">
        <v>2.9356595211870888E-5</v>
      </c>
      <c r="L131" s="124">
        <v>1.1362070374972204E-4</v>
      </c>
      <c r="M131" s="124">
        <v>9.121795009080474E-5</v>
      </c>
      <c r="N131" s="124">
        <v>1.4776043132057746E-4</v>
      </c>
      <c r="O131" s="124">
        <v>5.0089233738042803E-4</v>
      </c>
      <c r="P131" s="124">
        <v>2.9449554232767342E-4</v>
      </c>
      <c r="Q131" s="124">
        <v>4.9434936149687437E-4</v>
      </c>
      <c r="R131" s="124">
        <v>1.8043369223200059E-3</v>
      </c>
      <c r="S131" s="124">
        <v>1.838825845651314E-3</v>
      </c>
      <c r="T131" s="124">
        <v>2.9816621853171355E-4</v>
      </c>
      <c r="U131" s="124">
        <v>1.5677017297972931E-4</v>
      </c>
      <c r="V131" s="124">
        <v>4.7454065068519193E-5</v>
      </c>
      <c r="W131" s="124">
        <v>0</v>
      </c>
      <c r="X131" s="124">
        <v>0</v>
      </c>
      <c r="Y131" s="124">
        <v>0</v>
      </c>
      <c r="Z131" s="124">
        <v>0</v>
      </c>
      <c r="AA131" s="124">
        <v>0</v>
      </c>
      <c r="AB131" s="124">
        <v>0</v>
      </c>
      <c r="AC131" s="124">
        <v>0</v>
      </c>
    </row>
    <row r="132" spans="1:29" ht="15.75" customHeight="1">
      <c r="A132" s="139" t="s">
        <v>502</v>
      </c>
      <c r="B132" s="124">
        <v>0</v>
      </c>
      <c r="C132" s="124">
        <v>0</v>
      </c>
      <c r="D132" s="124">
        <v>0</v>
      </c>
      <c r="E132" s="124">
        <v>0</v>
      </c>
      <c r="F132" s="124">
        <v>0</v>
      </c>
      <c r="G132" s="124">
        <v>0</v>
      </c>
      <c r="H132" s="124">
        <v>0</v>
      </c>
      <c r="I132" s="124">
        <v>0</v>
      </c>
      <c r="J132" s="124">
        <v>0</v>
      </c>
      <c r="K132" s="124">
        <v>0</v>
      </c>
      <c r="L132" s="124">
        <v>0</v>
      </c>
      <c r="M132" s="124">
        <v>0</v>
      </c>
      <c r="N132" s="124">
        <v>0</v>
      </c>
      <c r="O132" s="124">
        <v>0</v>
      </c>
      <c r="P132" s="124">
        <v>0</v>
      </c>
      <c r="Q132" s="124">
        <v>0</v>
      </c>
      <c r="R132" s="124">
        <v>1.4757237622493884E-3</v>
      </c>
      <c r="S132" s="124">
        <v>1.5933224814402036E-3</v>
      </c>
      <c r="T132" s="124">
        <v>2.1027383015900184E-4</v>
      </c>
      <c r="U132" s="124">
        <v>4.8489212502207091E-5</v>
      </c>
      <c r="V132" s="124">
        <v>0</v>
      </c>
      <c r="W132" s="124">
        <v>0</v>
      </c>
      <c r="X132" s="124">
        <v>0</v>
      </c>
      <c r="Y132" s="124">
        <v>0</v>
      </c>
      <c r="Z132" s="124">
        <v>0</v>
      </c>
      <c r="AA132" s="124">
        <v>0</v>
      </c>
      <c r="AB132" s="124">
        <v>0</v>
      </c>
      <c r="AC132" s="124">
        <v>0</v>
      </c>
    </row>
    <row r="133" spans="1:29" ht="15.75" customHeight="1">
      <c r="A133" s="139" t="s">
        <v>503</v>
      </c>
      <c r="B133" s="124">
        <v>9.1518630817364601E-4</v>
      </c>
      <c r="C133" s="124">
        <v>1.3675947846612612E-4</v>
      </c>
      <c r="D133" s="124">
        <v>0</v>
      </c>
      <c r="E133" s="124">
        <v>0</v>
      </c>
      <c r="F133" s="124">
        <v>0</v>
      </c>
      <c r="G133" s="124">
        <v>0</v>
      </c>
      <c r="H133" s="124">
        <v>0</v>
      </c>
      <c r="I133" s="124">
        <v>0</v>
      </c>
      <c r="J133" s="124">
        <v>0</v>
      </c>
      <c r="K133" s="124">
        <v>0</v>
      </c>
      <c r="L133" s="124">
        <v>0</v>
      </c>
      <c r="M133" s="124">
        <v>0</v>
      </c>
      <c r="N133" s="124">
        <v>3.7817208177896268E-5</v>
      </c>
      <c r="O133" s="124">
        <v>7.1170450437603948E-5</v>
      </c>
      <c r="P133" s="124">
        <v>8.1509213110720282E-5</v>
      </c>
      <c r="Q133" s="124">
        <v>1.032778789633854E-4</v>
      </c>
      <c r="R133" s="124">
        <v>6.2842478743030034E-5</v>
      </c>
      <c r="S133" s="124">
        <v>5.0503415585758522E-5</v>
      </c>
      <c r="T133" s="124">
        <v>3.3237161049766595E-5</v>
      </c>
      <c r="U133" s="124">
        <v>3.3867577531064773E-5</v>
      </c>
      <c r="V133" s="124">
        <v>3.6558688679272949E-5</v>
      </c>
      <c r="W133" s="124">
        <v>0</v>
      </c>
      <c r="X133" s="124">
        <v>0</v>
      </c>
      <c r="Y133" s="124">
        <v>0</v>
      </c>
      <c r="Z133" s="124">
        <v>0</v>
      </c>
      <c r="AA133" s="124">
        <v>0</v>
      </c>
      <c r="AB133" s="124">
        <v>0</v>
      </c>
      <c r="AC133" s="124">
        <v>0</v>
      </c>
    </row>
    <row r="134" spans="1:29" ht="15.75" customHeight="1">
      <c r="A134" s="139" t="s">
        <v>504</v>
      </c>
      <c r="B134" s="124">
        <v>0</v>
      </c>
      <c r="C134" s="124">
        <v>0</v>
      </c>
      <c r="D134" s="124">
        <v>0</v>
      </c>
      <c r="E134" s="124">
        <v>0</v>
      </c>
      <c r="F134" s="124">
        <v>0</v>
      </c>
      <c r="G134" s="124">
        <v>0</v>
      </c>
      <c r="H134" s="124">
        <v>0</v>
      </c>
      <c r="I134" s="124">
        <v>2.3709201803920769E-5</v>
      </c>
      <c r="J134" s="124">
        <v>2.9806512727976926E-5</v>
      </c>
      <c r="K134" s="124">
        <v>2.9356595211870888E-5</v>
      </c>
      <c r="L134" s="124">
        <v>1.1362070374972204E-4</v>
      </c>
      <c r="M134" s="124">
        <v>9.121795009080474E-5</v>
      </c>
      <c r="N134" s="124">
        <v>1.2572213650842046E-5</v>
      </c>
      <c r="O134" s="124">
        <v>9.1959022530996127E-6</v>
      </c>
      <c r="P134" s="124">
        <v>7.6181976370239447E-6</v>
      </c>
      <c r="Q134" s="124">
        <v>1.672322094063101E-5</v>
      </c>
      <c r="R134" s="124">
        <v>4.842037649315466E-5</v>
      </c>
      <c r="S134" s="124">
        <v>4.8952732114204657E-5</v>
      </c>
      <c r="T134" s="124">
        <v>5.4655227322945086E-5</v>
      </c>
      <c r="U134" s="124">
        <v>7.441338294645747E-5</v>
      </c>
      <c r="V134" s="124">
        <v>1.0895376389246253E-5</v>
      </c>
      <c r="W134" s="124">
        <v>0</v>
      </c>
      <c r="X134" s="124">
        <v>0</v>
      </c>
      <c r="Y134" s="124">
        <v>0</v>
      </c>
      <c r="Z134" s="124">
        <v>0</v>
      </c>
      <c r="AA134" s="124">
        <v>0</v>
      </c>
      <c r="AB134" s="124">
        <v>0</v>
      </c>
      <c r="AC134" s="124">
        <v>0</v>
      </c>
    </row>
    <row r="135" spans="1:29" ht="15.75" customHeight="1">
      <c r="A135" s="139" t="s">
        <v>505</v>
      </c>
      <c r="B135" s="124">
        <v>0</v>
      </c>
      <c r="C135" s="124">
        <v>0</v>
      </c>
      <c r="D135" s="124">
        <v>0</v>
      </c>
      <c r="E135" s="124">
        <v>0</v>
      </c>
      <c r="F135" s="124">
        <v>0</v>
      </c>
      <c r="G135" s="124">
        <v>0</v>
      </c>
      <c r="H135" s="124">
        <v>0</v>
      </c>
      <c r="I135" s="124">
        <v>0</v>
      </c>
      <c r="J135" s="124">
        <v>0</v>
      </c>
      <c r="K135" s="124">
        <v>0</v>
      </c>
      <c r="L135" s="124">
        <v>0</v>
      </c>
      <c r="M135" s="124">
        <v>0</v>
      </c>
      <c r="N135" s="124">
        <v>9.7371009491839145E-5</v>
      </c>
      <c r="O135" s="124">
        <v>4.205259846897245E-4</v>
      </c>
      <c r="P135" s="124">
        <v>2.0536813157992923E-4</v>
      </c>
      <c r="Q135" s="124">
        <v>3.7019576232155107E-4</v>
      </c>
      <c r="R135" s="124">
        <v>2.1735030483443276E-4</v>
      </c>
      <c r="S135" s="124">
        <v>1.4604721651114742E-4</v>
      </c>
      <c r="T135" s="124">
        <v>0</v>
      </c>
      <c r="U135" s="124">
        <v>0</v>
      </c>
      <c r="V135" s="124">
        <v>0</v>
      </c>
      <c r="W135" s="124">
        <v>0</v>
      </c>
      <c r="X135" s="124">
        <v>0</v>
      </c>
      <c r="Y135" s="124">
        <v>0</v>
      </c>
      <c r="Z135" s="124">
        <v>0</v>
      </c>
      <c r="AA135" s="124">
        <v>0</v>
      </c>
      <c r="AB135" s="124">
        <v>0</v>
      </c>
      <c r="AC135" s="124">
        <v>0</v>
      </c>
    </row>
    <row r="136" spans="1:29" ht="15.75" customHeight="1">
      <c r="A136" s="139" t="s">
        <v>506</v>
      </c>
      <c r="B136" s="124">
        <v>0</v>
      </c>
      <c r="C136" s="124">
        <v>0</v>
      </c>
      <c r="D136" s="124">
        <v>0</v>
      </c>
      <c r="E136" s="124">
        <v>0</v>
      </c>
      <c r="F136" s="124">
        <v>0</v>
      </c>
      <c r="G136" s="124">
        <v>0</v>
      </c>
      <c r="H136" s="124">
        <v>0</v>
      </c>
      <c r="I136" s="124">
        <v>0</v>
      </c>
      <c r="J136" s="124">
        <v>0</v>
      </c>
      <c r="K136" s="124">
        <v>0</v>
      </c>
      <c r="L136" s="124">
        <v>0</v>
      </c>
      <c r="M136" s="124">
        <v>0</v>
      </c>
      <c r="N136" s="124">
        <v>0</v>
      </c>
      <c r="O136" s="124">
        <v>0</v>
      </c>
      <c r="P136" s="124">
        <v>0</v>
      </c>
      <c r="Q136" s="124">
        <v>0</v>
      </c>
      <c r="R136" s="124">
        <v>0</v>
      </c>
      <c r="S136" s="124">
        <v>0</v>
      </c>
      <c r="T136" s="124">
        <v>0</v>
      </c>
      <c r="U136" s="124">
        <v>0</v>
      </c>
      <c r="V136" s="124">
        <v>0</v>
      </c>
      <c r="W136" s="124">
        <v>0</v>
      </c>
      <c r="X136" s="124">
        <v>0</v>
      </c>
      <c r="Y136" s="124">
        <v>0</v>
      </c>
      <c r="Z136" s="124">
        <v>0</v>
      </c>
      <c r="AA136" s="124">
        <v>0</v>
      </c>
      <c r="AB136" s="124">
        <v>0</v>
      </c>
      <c r="AC136" s="124">
        <v>0</v>
      </c>
    </row>
    <row r="137" spans="1:29" ht="15.75" customHeight="1">
      <c r="A137" s="139" t="s">
        <v>507</v>
      </c>
      <c r="B137" s="124">
        <v>0</v>
      </c>
      <c r="C137" s="124">
        <v>0</v>
      </c>
      <c r="D137" s="124">
        <v>0</v>
      </c>
      <c r="E137" s="124">
        <v>0</v>
      </c>
      <c r="F137" s="124">
        <v>0</v>
      </c>
      <c r="G137" s="124">
        <v>0</v>
      </c>
      <c r="H137" s="124">
        <v>0</v>
      </c>
      <c r="I137" s="124">
        <v>0</v>
      </c>
      <c r="J137" s="124">
        <v>0</v>
      </c>
      <c r="K137" s="124">
        <v>0</v>
      </c>
      <c r="L137" s="124">
        <v>0</v>
      </c>
      <c r="M137" s="124">
        <v>0</v>
      </c>
      <c r="N137" s="124">
        <v>0</v>
      </c>
      <c r="O137" s="124">
        <v>0</v>
      </c>
      <c r="P137" s="124">
        <v>0</v>
      </c>
      <c r="Q137" s="124">
        <v>4.1524992713069377E-6</v>
      </c>
      <c r="R137" s="124">
        <v>0</v>
      </c>
      <c r="S137" s="124">
        <v>0</v>
      </c>
      <c r="T137" s="124">
        <v>0</v>
      </c>
      <c r="U137" s="124">
        <v>0</v>
      </c>
      <c r="V137" s="124">
        <v>0</v>
      </c>
      <c r="W137" s="124">
        <v>0</v>
      </c>
      <c r="X137" s="124">
        <v>0</v>
      </c>
      <c r="Y137" s="124">
        <v>0</v>
      </c>
      <c r="Z137" s="124">
        <v>0</v>
      </c>
      <c r="AA137" s="124">
        <v>0</v>
      </c>
      <c r="AB137" s="124">
        <v>0</v>
      </c>
      <c r="AC137" s="124">
        <v>0</v>
      </c>
    </row>
    <row r="138" spans="1:29" ht="15.75" customHeight="1">
      <c r="A138" s="120" t="s">
        <v>508</v>
      </c>
      <c r="B138" s="121">
        <v>3.9060922598254444E-2</v>
      </c>
      <c r="C138" s="121">
        <v>4.1718230463489672E-2</v>
      </c>
      <c r="D138" s="121">
        <v>3.5260394156606929E-2</v>
      </c>
      <c r="E138" s="121">
        <v>3.5802131109355491E-2</v>
      </c>
      <c r="F138" s="121">
        <v>3.8705215855712398E-2</v>
      </c>
      <c r="G138" s="121">
        <v>3.9787907974529836E-2</v>
      </c>
      <c r="H138" s="121">
        <v>3.1427402325852373E-2</v>
      </c>
      <c r="I138" s="121">
        <v>3.5090478654875835E-2</v>
      </c>
      <c r="J138" s="121">
        <v>3.5228631747422585E-2</v>
      </c>
      <c r="K138" s="121">
        <v>3.5442883467972648E-2</v>
      </c>
      <c r="L138" s="121">
        <v>3.6494085289929465E-2</v>
      </c>
      <c r="M138" s="121">
        <v>3.9593807707024156E-2</v>
      </c>
      <c r="N138" s="121">
        <v>3.8779787743970971E-2</v>
      </c>
      <c r="O138" s="121">
        <v>5.0035084424117464E-2</v>
      </c>
      <c r="P138" s="121">
        <v>3.9210007068218505E-2</v>
      </c>
      <c r="Q138" s="121">
        <v>4.0873772924974426E-2</v>
      </c>
      <c r="R138" s="121">
        <v>4.1388633867974145E-2</v>
      </c>
      <c r="S138" s="121">
        <v>4.4840793614548291E-2</v>
      </c>
      <c r="T138" s="121">
        <v>4.0333415445991248E-2</v>
      </c>
      <c r="U138" s="121">
        <v>4.3219892553058421E-2</v>
      </c>
      <c r="V138" s="121">
        <v>3.6620679440266209E-2</v>
      </c>
      <c r="W138" s="121">
        <v>3.8030387972169163E-2</v>
      </c>
      <c r="X138" s="121">
        <v>4.1582111977342844E-2</v>
      </c>
      <c r="Y138" s="121">
        <v>3.1783000434326358E-2</v>
      </c>
      <c r="Z138" s="121">
        <v>2.9861278300645555E-2</v>
      </c>
      <c r="AA138" s="121">
        <v>3.6835139292965995E-2</v>
      </c>
      <c r="AB138" s="121">
        <v>4.6586715533255454E-2</v>
      </c>
      <c r="AC138" s="121">
        <v>4.6014186409007798E-2</v>
      </c>
    </row>
    <row r="139" spans="1:29" ht="15.75" customHeight="1">
      <c r="A139" s="126" t="s">
        <v>509</v>
      </c>
      <c r="B139" s="124">
        <v>0</v>
      </c>
      <c r="C139" s="124">
        <v>0</v>
      </c>
      <c r="D139" s="124">
        <v>0</v>
      </c>
      <c r="E139" s="124">
        <v>0</v>
      </c>
      <c r="F139" s="124">
        <v>0</v>
      </c>
      <c r="G139" s="124">
        <v>0</v>
      </c>
      <c r="H139" s="124">
        <v>0</v>
      </c>
      <c r="I139" s="124">
        <v>0</v>
      </c>
      <c r="J139" s="124">
        <v>0</v>
      </c>
      <c r="K139" s="124">
        <v>0</v>
      </c>
      <c r="L139" s="124">
        <v>0</v>
      </c>
      <c r="M139" s="124">
        <v>1.6189112801719686E-2</v>
      </c>
      <c r="N139" s="124">
        <v>1.7181412447929357E-2</v>
      </c>
      <c r="O139" s="124">
        <v>1.6793391927012243E-2</v>
      </c>
      <c r="P139" s="124">
        <v>1.7777332579705742E-2</v>
      </c>
      <c r="Q139" s="124">
        <v>1.8370851157542546E-2</v>
      </c>
      <c r="R139" s="124">
        <v>1.826615893885274E-2</v>
      </c>
      <c r="S139" s="124">
        <v>1.9430389558828146E-2</v>
      </c>
      <c r="T139" s="124">
        <v>1.9147280703935281E-2</v>
      </c>
      <c r="U139" s="124">
        <v>2.0584513735717805E-2</v>
      </c>
      <c r="V139" s="124">
        <v>1.8797890794482124E-2</v>
      </c>
      <c r="W139" s="124">
        <v>1.9586516690063858E-2</v>
      </c>
      <c r="X139" s="124">
        <v>1.9330704254275435E-2</v>
      </c>
      <c r="Y139" s="124">
        <v>1.7544285895252743E-2</v>
      </c>
      <c r="Z139" s="124">
        <v>1.6111165927695976E-2</v>
      </c>
      <c r="AA139" s="124">
        <v>2.1741151416136896E-2</v>
      </c>
      <c r="AB139" s="124">
        <v>2.9828374473648854E-2</v>
      </c>
      <c r="AC139" s="124">
        <v>3.0369523090434669E-2</v>
      </c>
    </row>
    <row r="140" spans="1:29" ht="15.75" customHeight="1">
      <c r="A140" s="127" t="s">
        <v>510</v>
      </c>
      <c r="B140" s="124">
        <v>0</v>
      </c>
      <c r="C140" s="124">
        <v>0</v>
      </c>
      <c r="D140" s="124">
        <v>0</v>
      </c>
      <c r="E140" s="124">
        <v>0</v>
      </c>
      <c r="F140" s="124">
        <v>0</v>
      </c>
      <c r="G140" s="124">
        <v>0</v>
      </c>
      <c r="H140" s="124">
        <v>0</v>
      </c>
      <c r="I140" s="124">
        <v>0</v>
      </c>
      <c r="J140" s="124">
        <v>0</v>
      </c>
      <c r="K140" s="124">
        <v>0</v>
      </c>
      <c r="L140" s="124">
        <v>0</v>
      </c>
      <c r="M140" s="124">
        <v>5.1018734815150713E-4</v>
      </c>
      <c r="N140" s="124">
        <v>1.1516945062616001E-3</v>
      </c>
      <c r="O140" s="124">
        <v>1.3765501765399437E-3</v>
      </c>
      <c r="P140" s="124">
        <v>1.4010040685662952E-3</v>
      </c>
      <c r="Q140" s="124">
        <v>1.3704178242543894E-3</v>
      </c>
      <c r="R140" s="124">
        <v>1.5433279175680529E-3</v>
      </c>
      <c r="S140" s="124">
        <v>1.595708412834286E-3</v>
      </c>
      <c r="T140" s="124">
        <v>1.5419634250883557E-3</v>
      </c>
      <c r="U140" s="124">
        <v>2.0920139829798431E-3</v>
      </c>
      <c r="V140" s="124">
        <v>1.9792870057798585E-3</v>
      </c>
      <c r="W140" s="124">
        <v>1.8792629247442127E-3</v>
      </c>
      <c r="X140" s="124">
        <v>1.8646374426396592E-3</v>
      </c>
      <c r="Y140" s="124">
        <v>1.7603300413566449E-3</v>
      </c>
      <c r="Z140" s="124">
        <v>1.532642120372621E-3</v>
      </c>
      <c r="AA140" s="124">
        <v>1.4228368443817683E-3</v>
      </c>
      <c r="AB140" s="124">
        <v>1.4074905554693211E-3</v>
      </c>
      <c r="AC140" s="124">
        <v>1.5913196643366941E-3</v>
      </c>
    </row>
    <row r="141" spans="1:29" ht="15.75" customHeight="1">
      <c r="A141" s="127" t="s">
        <v>511</v>
      </c>
      <c r="B141" s="124">
        <v>0</v>
      </c>
      <c r="C141" s="124">
        <v>0</v>
      </c>
      <c r="D141" s="124">
        <v>0</v>
      </c>
      <c r="E141" s="124">
        <v>0</v>
      </c>
      <c r="F141" s="124">
        <v>0</v>
      </c>
      <c r="G141" s="124">
        <v>0</v>
      </c>
      <c r="H141" s="124">
        <v>0</v>
      </c>
      <c r="I141" s="124">
        <v>0</v>
      </c>
      <c r="J141" s="124">
        <v>0</v>
      </c>
      <c r="K141" s="124">
        <v>0</v>
      </c>
      <c r="L141" s="124">
        <v>0</v>
      </c>
      <c r="M141" s="124">
        <v>3.4601397755773425E-3</v>
      </c>
      <c r="N141" s="124">
        <v>3.5126639034675049E-3</v>
      </c>
      <c r="O141" s="124">
        <v>3.4358859660906997E-3</v>
      </c>
      <c r="P141" s="124">
        <v>3.8565511927621345E-3</v>
      </c>
      <c r="Q141" s="124">
        <v>4.3623502894901611E-3</v>
      </c>
      <c r="R141" s="124">
        <v>4.6237412984820861E-3</v>
      </c>
      <c r="S141" s="124">
        <v>4.6319228270744195E-3</v>
      </c>
      <c r="T141" s="124">
        <v>4.4976546183044695E-3</v>
      </c>
      <c r="U141" s="124">
        <v>4.5789698197545373E-3</v>
      </c>
      <c r="V141" s="124">
        <v>4.2812752291647351E-3</v>
      </c>
      <c r="W141" s="124">
        <v>4.3346063557534887E-3</v>
      </c>
      <c r="X141" s="124">
        <v>4.4634991260450434E-3</v>
      </c>
      <c r="Y141" s="124">
        <v>2.5015337050579029E-3</v>
      </c>
      <c r="Z141" s="124">
        <v>2.8574332203031281E-3</v>
      </c>
      <c r="AA141" s="124">
        <v>8.7422535088886016E-3</v>
      </c>
      <c r="AB141" s="124">
        <v>1.5197507332614272E-2</v>
      </c>
      <c r="AC141" s="124">
        <v>1.4302632902837687E-2</v>
      </c>
    </row>
    <row r="142" spans="1:29" ht="15.75" customHeight="1">
      <c r="A142" s="127" t="s">
        <v>512</v>
      </c>
      <c r="B142" s="124">
        <v>0</v>
      </c>
      <c r="C142" s="124">
        <v>0</v>
      </c>
      <c r="D142" s="124">
        <v>0</v>
      </c>
      <c r="E142" s="124">
        <v>0</v>
      </c>
      <c r="F142" s="124">
        <v>0</v>
      </c>
      <c r="G142" s="124">
        <v>0</v>
      </c>
      <c r="H142" s="124">
        <v>0</v>
      </c>
      <c r="I142" s="124">
        <v>0</v>
      </c>
      <c r="J142" s="124">
        <v>0</v>
      </c>
      <c r="K142" s="124">
        <v>0</v>
      </c>
      <c r="L142" s="124">
        <v>0</v>
      </c>
      <c r="M142" s="124">
        <v>1.1205422092469103E-2</v>
      </c>
      <c r="N142" s="124">
        <v>1.1396883011161429E-2</v>
      </c>
      <c r="O142" s="124">
        <v>1.0807128289980183E-2</v>
      </c>
      <c r="P142" s="124">
        <v>1.1227926687841675E-2</v>
      </c>
      <c r="Q142" s="124">
        <v>1.1263053974993638E-2</v>
      </c>
      <c r="R142" s="124">
        <v>1.0642283104054765E-2</v>
      </c>
      <c r="S142" s="124">
        <v>1.1787475976457294E-2</v>
      </c>
      <c r="T142" s="124">
        <v>1.1817194660164176E-2</v>
      </c>
      <c r="U142" s="124">
        <v>1.2674873330902959E-2</v>
      </c>
      <c r="V142" s="124">
        <v>1.1370587302783362E-2</v>
      </c>
      <c r="W142" s="124">
        <v>1.1749888170874662E-2</v>
      </c>
      <c r="X142" s="124">
        <v>1.1666379113821316E-2</v>
      </c>
      <c r="Y142" s="124">
        <v>1.1662242850599931E-2</v>
      </c>
      <c r="Z142" s="124">
        <v>1.0344558715482626E-2</v>
      </c>
      <c r="AA142" s="124">
        <v>1.0360915846921729E-2</v>
      </c>
      <c r="AB142" s="124">
        <v>1.1838222217444985E-2</v>
      </c>
      <c r="AC142" s="124">
        <v>1.2976365916414354E-2</v>
      </c>
    </row>
    <row r="143" spans="1:29" ht="15.75" customHeight="1">
      <c r="A143" s="127" t="s">
        <v>513</v>
      </c>
      <c r="B143" s="124">
        <v>0</v>
      </c>
      <c r="C143" s="124">
        <v>0</v>
      </c>
      <c r="D143" s="124">
        <v>0</v>
      </c>
      <c r="E143" s="124">
        <v>0</v>
      </c>
      <c r="F143" s="124">
        <v>0</v>
      </c>
      <c r="G143" s="124">
        <v>0</v>
      </c>
      <c r="H143" s="124">
        <v>0</v>
      </c>
      <c r="I143" s="124">
        <v>0</v>
      </c>
      <c r="J143" s="124">
        <v>0</v>
      </c>
      <c r="K143" s="124">
        <v>0</v>
      </c>
      <c r="L143" s="124">
        <v>0</v>
      </c>
      <c r="M143" s="124">
        <v>8.4267667264675632E-4</v>
      </c>
      <c r="N143" s="124">
        <v>1.0329706903459688E-3</v>
      </c>
      <c r="O143" s="124">
        <v>1.1312719857143783E-3</v>
      </c>
      <c r="P143" s="124">
        <v>1.1654009764031396E-3</v>
      </c>
      <c r="Q143" s="124">
        <v>1.2695214712676302E-3</v>
      </c>
      <c r="R143" s="124">
        <v>1.3149443722030479E-3</v>
      </c>
      <c r="S143" s="124">
        <v>1.1384773424362412E-3</v>
      </c>
      <c r="T143" s="124">
        <v>1.0517589278087477E-3</v>
      </c>
      <c r="U143" s="124">
        <v>9.4184073228500693E-4</v>
      </c>
      <c r="V143" s="124">
        <v>9.3985897052967281E-4</v>
      </c>
      <c r="W143" s="124">
        <v>9.2211462324996805E-4</v>
      </c>
      <c r="X143" s="124">
        <v>7.7594056100263869E-4</v>
      </c>
      <c r="Y143" s="124">
        <v>8.9700609938186428E-4</v>
      </c>
      <c r="Z143" s="124">
        <v>8.0068299576134549E-4</v>
      </c>
      <c r="AA143" s="124">
        <v>6.2996787424940371E-4</v>
      </c>
      <c r="AB143" s="124">
        <v>7.5000746351329482E-4</v>
      </c>
      <c r="AC143" s="124">
        <v>6.837448615484602E-4</v>
      </c>
    </row>
    <row r="144" spans="1:29" ht="15.75" customHeight="1">
      <c r="A144" s="127" t="s">
        <v>514</v>
      </c>
      <c r="B144" s="124">
        <v>0</v>
      </c>
      <c r="C144" s="124">
        <v>0</v>
      </c>
      <c r="D144" s="124">
        <v>0</v>
      </c>
      <c r="E144" s="124">
        <v>0</v>
      </c>
      <c r="F144" s="124">
        <v>0</v>
      </c>
      <c r="G144" s="124">
        <v>0</v>
      </c>
      <c r="H144" s="124">
        <v>0</v>
      </c>
      <c r="I144" s="124">
        <v>0</v>
      </c>
      <c r="J144" s="124">
        <v>0</v>
      </c>
      <c r="K144" s="124">
        <v>0</v>
      </c>
      <c r="L144" s="124">
        <v>0</v>
      </c>
      <c r="M144" s="124">
        <v>1.7068691287497475E-4</v>
      </c>
      <c r="N144" s="124">
        <v>8.7200336692853223E-5</v>
      </c>
      <c r="O144" s="124">
        <v>4.2555508687036262E-5</v>
      </c>
      <c r="P144" s="124">
        <v>1.264496541324964E-4</v>
      </c>
      <c r="Q144" s="124">
        <v>1.055075975367217E-4</v>
      </c>
      <c r="R144" s="124">
        <v>1.4186224654478454E-4</v>
      </c>
      <c r="S144" s="124">
        <v>2.7680500002590742E-4</v>
      </c>
      <c r="T144" s="124">
        <v>2.3870907256953364E-4</v>
      </c>
      <c r="U144" s="124">
        <v>2.9681586979546089E-4</v>
      </c>
      <c r="V144" s="124">
        <v>2.2688228622449905E-4</v>
      </c>
      <c r="W144" s="124">
        <v>7.0064461544152353E-4</v>
      </c>
      <c r="X144" s="124">
        <v>5.6024801076677338E-4</v>
      </c>
      <c r="Y144" s="124">
        <v>7.2317319885639763E-4</v>
      </c>
      <c r="Z144" s="124">
        <v>5.7584887577625588E-4</v>
      </c>
      <c r="AA144" s="124">
        <v>5.8517734169539386E-4</v>
      </c>
      <c r="AB144" s="124">
        <v>6.3514690460698151E-4</v>
      </c>
      <c r="AC144" s="124">
        <v>8.1545974529747287E-4</v>
      </c>
    </row>
    <row r="145" spans="1:29" ht="15.75" customHeight="1">
      <c r="A145" s="126" t="s">
        <v>515</v>
      </c>
      <c r="B145" s="124">
        <v>0</v>
      </c>
      <c r="C145" s="124">
        <v>0</v>
      </c>
      <c r="D145" s="124">
        <v>0</v>
      </c>
      <c r="E145" s="124">
        <v>0</v>
      </c>
      <c r="F145" s="124">
        <v>0</v>
      </c>
      <c r="G145" s="124">
        <v>0</v>
      </c>
      <c r="H145" s="124">
        <v>0</v>
      </c>
      <c r="I145" s="124">
        <v>0</v>
      </c>
      <c r="J145" s="124">
        <v>0</v>
      </c>
      <c r="K145" s="124">
        <v>0</v>
      </c>
      <c r="L145" s="124">
        <v>0</v>
      </c>
      <c r="M145" s="124">
        <v>2.340469490530447E-2</v>
      </c>
      <c r="N145" s="124">
        <v>2.1598375296041614E-2</v>
      </c>
      <c r="O145" s="124">
        <v>3.3241692497105214E-2</v>
      </c>
      <c r="P145" s="124">
        <v>2.1432674488512767E-2</v>
      </c>
      <c r="Q145" s="124">
        <v>2.2502921767431891E-2</v>
      </c>
      <c r="R145" s="124">
        <v>2.3122474929121412E-2</v>
      </c>
      <c r="S145" s="124">
        <v>2.5410404055720141E-2</v>
      </c>
      <c r="T145" s="124">
        <v>2.1186134742055964E-2</v>
      </c>
      <c r="U145" s="124">
        <v>2.2635378817340623E-2</v>
      </c>
      <c r="V145" s="124">
        <v>1.7822788645784085E-2</v>
      </c>
      <c r="W145" s="124">
        <v>1.8443871282105305E-2</v>
      </c>
      <c r="X145" s="124">
        <v>2.2251407723067416E-2</v>
      </c>
      <c r="Y145" s="124">
        <v>1.4238714539073619E-2</v>
      </c>
      <c r="Z145" s="124">
        <v>1.3750112372949572E-2</v>
      </c>
      <c r="AA145" s="124">
        <v>1.5093987876829099E-2</v>
      </c>
      <c r="AB145" s="124">
        <v>1.6758341059606604E-2</v>
      </c>
      <c r="AC145" s="124">
        <v>1.5644663318573129E-2</v>
      </c>
    </row>
    <row r="146" spans="1:29" ht="15.75" customHeight="1">
      <c r="A146" s="127" t="s">
        <v>516</v>
      </c>
      <c r="B146" s="124">
        <v>0</v>
      </c>
      <c r="C146" s="124">
        <v>0</v>
      </c>
      <c r="D146" s="124">
        <v>0</v>
      </c>
      <c r="E146" s="124">
        <v>0</v>
      </c>
      <c r="F146" s="124">
        <v>0</v>
      </c>
      <c r="G146" s="124">
        <v>0</v>
      </c>
      <c r="H146" s="124">
        <v>0</v>
      </c>
      <c r="I146" s="124">
        <v>0</v>
      </c>
      <c r="J146" s="124">
        <v>0</v>
      </c>
      <c r="K146" s="124">
        <v>0</v>
      </c>
      <c r="L146" s="124">
        <v>0</v>
      </c>
      <c r="M146" s="124">
        <v>2.3652880858072295E-3</v>
      </c>
      <c r="N146" s="124">
        <v>2.3596865763258995E-3</v>
      </c>
      <c r="O146" s="124">
        <v>2.1827162060765555E-3</v>
      </c>
      <c r="P146" s="124">
        <v>2.0883257154756521E-3</v>
      </c>
      <c r="Q146" s="124">
        <v>2.4729425156803475E-3</v>
      </c>
      <c r="R146" s="124">
        <v>2.6773032806899802E-3</v>
      </c>
      <c r="S146" s="124">
        <v>2.7509542842077766E-3</v>
      </c>
      <c r="T146" s="124">
        <v>2.8050842189987282E-3</v>
      </c>
      <c r="U146" s="124">
        <v>3.1827313976052498E-3</v>
      </c>
      <c r="V146" s="124">
        <v>3.4888288826330927E-3</v>
      </c>
      <c r="W146" s="124">
        <v>4.1240774961019697E-3</v>
      </c>
      <c r="X146" s="124">
        <v>3.9490991538727628E-3</v>
      </c>
      <c r="Y146" s="124">
        <v>3.1104210194744068E-3</v>
      </c>
      <c r="Z146" s="124">
        <v>3.3220731918001171E-3</v>
      </c>
      <c r="AA146" s="124">
        <v>3.2997916160147512E-3</v>
      </c>
      <c r="AB146" s="124">
        <v>3.4952993799031362E-3</v>
      </c>
      <c r="AC146" s="124">
        <v>4.3786688788187205E-3</v>
      </c>
    </row>
    <row r="147" spans="1:29" ht="15.75" customHeight="1">
      <c r="A147" s="127" t="s">
        <v>517</v>
      </c>
      <c r="B147" s="124">
        <v>0</v>
      </c>
      <c r="C147" s="124">
        <v>0</v>
      </c>
      <c r="D147" s="124">
        <v>0</v>
      </c>
      <c r="E147" s="124">
        <v>0</v>
      </c>
      <c r="F147" s="124">
        <v>0</v>
      </c>
      <c r="G147" s="124">
        <v>0</v>
      </c>
      <c r="H147" s="124">
        <v>0</v>
      </c>
      <c r="I147" s="124">
        <v>0</v>
      </c>
      <c r="J147" s="124">
        <v>0</v>
      </c>
      <c r="K147" s="124">
        <v>0</v>
      </c>
      <c r="L147" s="124">
        <v>0</v>
      </c>
      <c r="M147" s="124">
        <v>2.4741058862756526E-3</v>
      </c>
      <c r="N147" s="124">
        <v>2.8293256645263447E-3</v>
      </c>
      <c r="O147" s="124">
        <v>3.3876743285223901E-3</v>
      </c>
      <c r="P147" s="124">
        <v>3.6635141608577313E-3</v>
      </c>
      <c r="Q147" s="124">
        <v>4.6310925133980886E-3</v>
      </c>
      <c r="R147" s="124">
        <v>4.5059124453285023E-3</v>
      </c>
      <c r="S147" s="124">
        <v>5.389817889662538E-3</v>
      </c>
      <c r="T147" s="124">
        <v>4.5634533010961622E-3</v>
      </c>
      <c r="U147" s="124">
        <v>4.6110423047744714E-3</v>
      </c>
      <c r="V147" s="124">
        <v>3.6107814154339489E-3</v>
      </c>
      <c r="W147" s="124">
        <v>3.5511907519420521E-3</v>
      </c>
      <c r="X147" s="124">
        <v>2.9547036905812805E-3</v>
      </c>
      <c r="Y147" s="124">
        <v>2.5377986863248654E-3</v>
      </c>
      <c r="Z147" s="124">
        <v>2.1767298815960233E-3</v>
      </c>
      <c r="AA147" s="124">
        <v>2.0039106588328457E-3</v>
      </c>
      <c r="AB147" s="124">
        <v>3.1951138686238819E-3</v>
      </c>
      <c r="AC147" s="124">
        <v>2.4331545192839759E-3</v>
      </c>
    </row>
    <row r="148" spans="1:29" ht="15.75" customHeight="1">
      <c r="A148" s="127" t="s">
        <v>518</v>
      </c>
      <c r="B148" s="124">
        <v>0</v>
      </c>
      <c r="C148" s="124">
        <v>0</v>
      </c>
      <c r="D148" s="124">
        <v>0</v>
      </c>
      <c r="E148" s="124">
        <v>0</v>
      </c>
      <c r="F148" s="124">
        <v>0</v>
      </c>
      <c r="G148" s="124">
        <v>0</v>
      </c>
      <c r="H148" s="124">
        <v>0</v>
      </c>
      <c r="I148" s="124">
        <v>0</v>
      </c>
      <c r="J148" s="124">
        <v>0</v>
      </c>
      <c r="K148" s="124">
        <v>0</v>
      </c>
      <c r="L148" s="124">
        <v>0</v>
      </c>
      <c r="M148" s="124">
        <v>2.4811537786016977E-3</v>
      </c>
      <c r="N148" s="124">
        <v>2.3775439083474196E-3</v>
      </c>
      <c r="O148" s="124">
        <v>2.7439747575812201E-3</v>
      </c>
      <c r="P148" s="124">
        <v>2.539032394188419E-3</v>
      </c>
      <c r="Q148" s="124">
        <v>2.5675146139361644E-3</v>
      </c>
      <c r="R148" s="124">
        <v>2.6083993414430097E-3</v>
      </c>
      <c r="S148" s="124">
        <v>2.7835842559041269E-3</v>
      </c>
      <c r="T148" s="124">
        <v>1.8396899310803745E-3</v>
      </c>
      <c r="U148" s="124">
        <v>2.2881953252977664E-3</v>
      </c>
      <c r="V148" s="124">
        <v>1.9161210247560713E-3</v>
      </c>
      <c r="W148" s="124">
        <v>2.2168577428444852E-3</v>
      </c>
      <c r="X148" s="124">
        <v>2.6473793772455378E-3</v>
      </c>
      <c r="Y148" s="124">
        <v>1.5601101000089761E-3</v>
      </c>
      <c r="Z148" s="124">
        <v>1.2572754974984343E-3</v>
      </c>
      <c r="AA148" s="124">
        <v>1.2716416256650051E-3</v>
      </c>
      <c r="AB148" s="124">
        <v>1.1833876846562188E-3</v>
      </c>
      <c r="AC148" s="124">
        <v>1.1339359348947328E-3</v>
      </c>
    </row>
    <row r="149" spans="1:29" ht="15.75" customHeight="1">
      <c r="A149" s="127" t="s">
        <v>519</v>
      </c>
      <c r="B149" s="124">
        <v>0</v>
      </c>
      <c r="C149" s="124">
        <v>0</v>
      </c>
      <c r="D149" s="124">
        <v>0</v>
      </c>
      <c r="E149" s="124">
        <v>0</v>
      </c>
      <c r="F149" s="124">
        <v>0</v>
      </c>
      <c r="G149" s="124">
        <v>0</v>
      </c>
      <c r="H149" s="124">
        <v>0</v>
      </c>
      <c r="I149" s="124">
        <v>0</v>
      </c>
      <c r="J149" s="124">
        <v>0</v>
      </c>
      <c r="K149" s="124">
        <v>0</v>
      </c>
      <c r="L149" s="124">
        <v>0</v>
      </c>
      <c r="M149" s="124">
        <v>2.3369118299851411E-3</v>
      </c>
      <c r="N149" s="124">
        <v>3.1514277535941255E-3</v>
      </c>
      <c r="O149" s="124">
        <v>3.6009407589098208E-3</v>
      </c>
      <c r="P149" s="124">
        <v>3.4885562558884678E-3</v>
      </c>
      <c r="Q149" s="124">
        <v>2.5477579601873978E-3</v>
      </c>
      <c r="R149" s="124">
        <v>2.2912073803229229E-3</v>
      </c>
      <c r="S149" s="124">
        <v>2.5245603778663093E-3</v>
      </c>
      <c r="T149" s="124">
        <v>1.6788619013170299E-3</v>
      </c>
      <c r="U149" s="124">
        <v>2.0478466206335674E-3</v>
      </c>
      <c r="V149" s="124">
        <v>1.6449080900609446E-3</v>
      </c>
      <c r="W149" s="124">
        <v>1.5569946854546556E-3</v>
      </c>
      <c r="X149" s="124">
        <v>1.2491539980077544E-3</v>
      </c>
      <c r="Y149" s="124">
        <v>1.1976725054258486E-3</v>
      </c>
      <c r="Z149" s="124">
        <v>8.9919902559581393E-4</v>
      </c>
      <c r="AA149" s="124">
        <v>8.1586602072146572E-4</v>
      </c>
      <c r="AB149" s="124">
        <v>1.3730802649280231E-3</v>
      </c>
      <c r="AC149" s="124">
        <v>1.3489118735109968E-3</v>
      </c>
    </row>
    <row r="150" spans="1:29" ht="15.75" customHeight="1">
      <c r="A150" s="127" t="s">
        <v>520</v>
      </c>
      <c r="B150" s="124">
        <v>0</v>
      </c>
      <c r="C150" s="124">
        <v>0</v>
      </c>
      <c r="D150" s="124">
        <v>0</v>
      </c>
      <c r="E150" s="124">
        <v>0</v>
      </c>
      <c r="F150" s="124">
        <v>0</v>
      </c>
      <c r="G150" s="124">
        <v>0</v>
      </c>
      <c r="H150" s="124">
        <v>0</v>
      </c>
      <c r="I150" s="124">
        <v>0</v>
      </c>
      <c r="J150" s="124">
        <v>0</v>
      </c>
      <c r="K150" s="124">
        <v>0</v>
      </c>
      <c r="L150" s="124">
        <v>0</v>
      </c>
      <c r="M150" s="124">
        <v>1.1447198955264841E-3</v>
      </c>
      <c r="N150" s="124">
        <v>1.2525953818229222E-3</v>
      </c>
      <c r="O150" s="124">
        <v>1.4927872876569429E-3</v>
      </c>
      <c r="P150" s="124">
        <v>1.0884249943712643E-3</v>
      </c>
      <c r="Q150" s="124">
        <v>9.0337677893648845E-4</v>
      </c>
      <c r="R150" s="124">
        <v>1.0877715991838416E-3</v>
      </c>
      <c r="S150" s="124">
        <v>1.0622328377898446E-3</v>
      </c>
      <c r="T150" s="124">
        <v>8.5840987613032267E-4</v>
      </c>
      <c r="U150" s="124">
        <v>8.7897150475140244E-4</v>
      </c>
      <c r="V150" s="124">
        <v>9.0371114069426513E-4</v>
      </c>
      <c r="W150" s="124">
        <v>1.1366011202519086E-3</v>
      </c>
      <c r="X150" s="124">
        <v>9.150598985429117E-4</v>
      </c>
      <c r="Y150" s="124">
        <v>7.7558854855575498E-4</v>
      </c>
      <c r="Z150" s="124">
        <v>6.6166899738573088E-4</v>
      </c>
      <c r="AA150" s="124">
        <v>7.6844526145739499E-4</v>
      </c>
      <c r="AB150" s="124">
        <v>7.1367680899681496E-4</v>
      </c>
      <c r="AC150" s="124">
        <v>5.7336683121058947E-4</v>
      </c>
    </row>
    <row r="151" spans="1:29" ht="15.75" customHeight="1">
      <c r="A151" s="127" t="s">
        <v>521</v>
      </c>
      <c r="B151" s="124">
        <v>0</v>
      </c>
      <c r="C151" s="124">
        <v>0</v>
      </c>
      <c r="D151" s="124">
        <v>0</v>
      </c>
      <c r="E151" s="124">
        <v>0</v>
      </c>
      <c r="F151" s="124">
        <v>0</v>
      </c>
      <c r="G151" s="124">
        <v>0</v>
      </c>
      <c r="H151" s="124">
        <v>0</v>
      </c>
      <c r="I151" s="124">
        <v>0</v>
      </c>
      <c r="J151" s="124">
        <v>0</v>
      </c>
      <c r="K151" s="124">
        <v>0</v>
      </c>
      <c r="L151" s="124">
        <v>0</v>
      </c>
      <c r="M151" s="124">
        <v>1.1983544592684009E-3</v>
      </c>
      <c r="N151" s="124">
        <v>1.1398636650135651E-3</v>
      </c>
      <c r="O151" s="124">
        <v>1.1156658387508841E-3</v>
      </c>
      <c r="P151" s="124">
        <v>9.2484475815700557E-4</v>
      </c>
      <c r="Q151" s="124">
        <v>1.0148697551464925E-3</v>
      </c>
      <c r="R151" s="124">
        <v>1.0241507551422384E-3</v>
      </c>
      <c r="S151" s="124">
        <v>1.0660853174978896E-3</v>
      </c>
      <c r="T151" s="124">
        <v>8.7934763512832455E-4</v>
      </c>
      <c r="U151" s="124">
        <v>9.1447900438463322E-4</v>
      </c>
      <c r="V151" s="124">
        <v>6.3470177479146319E-4</v>
      </c>
      <c r="W151" s="124">
        <v>6.2029077486346334E-4</v>
      </c>
      <c r="X151" s="124">
        <v>5.3137927158953375E-4</v>
      </c>
      <c r="Y151" s="124">
        <v>4.1861878762251934E-4</v>
      </c>
      <c r="Z151" s="124">
        <v>3.2635970179202377E-4</v>
      </c>
      <c r="AA151" s="124">
        <v>4.9124815624739589E-4</v>
      </c>
      <c r="AB151" s="124">
        <v>6.4663673903807013E-4</v>
      </c>
      <c r="AC151" s="124">
        <v>7.1761603555540998E-4</v>
      </c>
    </row>
    <row r="152" spans="1:29" ht="15.75" customHeight="1">
      <c r="A152" s="127" t="s">
        <v>522</v>
      </c>
      <c r="B152" s="124">
        <v>0</v>
      </c>
      <c r="C152" s="124">
        <v>0</v>
      </c>
      <c r="D152" s="124">
        <v>0</v>
      </c>
      <c r="E152" s="124">
        <v>0</v>
      </c>
      <c r="F152" s="124">
        <v>0</v>
      </c>
      <c r="G152" s="124">
        <v>0</v>
      </c>
      <c r="H152" s="124">
        <v>0</v>
      </c>
      <c r="I152" s="124">
        <v>0</v>
      </c>
      <c r="J152" s="124">
        <v>0</v>
      </c>
      <c r="K152" s="124">
        <v>0</v>
      </c>
      <c r="L152" s="124">
        <v>0</v>
      </c>
      <c r="M152" s="124">
        <v>6.2331778888893917E-4</v>
      </c>
      <c r="N152" s="124">
        <v>6.2565983416136149E-4</v>
      </c>
      <c r="O152" s="124">
        <v>6.0529779711661097E-4</v>
      </c>
      <c r="P152" s="124">
        <v>4.7637460037727378E-4</v>
      </c>
      <c r="Q152" s="124">
        <v>4.3718321008123833E-4</v>
      </c>
      <c r="R152" s="124">
        <v>4.3277545771910208E-4</v>
      </c>
      <c r="S152" s="124">
        <v>4.2890134534400099E-4</v>
      </c>
      <c r="T152" s="124">
        <v>3.4339559704426264E-4</v>
      </c>
      <c r="U152" s="124">
        <v>4.2045013030062337E-4</v>
      </c>
      <c r="V152" s="124">
        <v>4.5958807928909713E-4</v>
      </c>
      <c r="W152" s="124">
        <v>5.1033297587504934E-4</v>
      </c>
      <c r="X152" s="124">
        <v>4.7297391112475866E-4</v>
      </c>
      <c r="Y152" s="124">
        <v>3.9739204608975131E-4</v>
      </c>
      <c r="Z152" s="124">
        <v>3.3762685788841368E-4</v>
      </c>
      <c r="AA152" s="124">
        <v>3.5123494851911982E-4</v>
      </c>
      <c r="AB152" s="124">
        <v>3.1415509001419872E-4</v>
      </c>
      <c r="AC152" s="124">
        <v>2.8946122230413286E-4</v>
      </c>
    </row>
    <row r="153" spans="1:29" ht="15.75" customHeight="1">
      <c r="A153" s="127" t="s">
        <v>523</v>
      </c>
      <c r="B153" s="124">
        <v>0</v>
      </c>
      <c r="C153" s="124">
        <v>0</v>
      </c>
      <c r="D153" s="124">
        <v>0</v>
      </c>
      <c r="E153" s="124">
        <v>0</v>
      </c>
      <c r="F153" s="124">
        <v>0</v>
      </c>
      <c r="G153" s="124">
        <v>0</v>
      </c>
      <c r="H153" s="124">
        <v>0</v>
      </c>
      <c r="I153" s="124">
        <v>0</v>
      </c>
      <c r="J153" s="124">
        <v>0</v>
      </c>
      <c r="K153" s="124">
        <v>0</v>
      </c>
      <c r="L153" s="124">
        <v>0</v>
      </c>
      <c r="M153" s="124">
        <v>7.9138206447062901E-4</v>
      </c>
      <c r="N153" s="124">
        <v>7.9712337083007526E-4</v>
      </c>
      <c r="O153" s="124">
        <v>7.6567979737515615E-4</v>
      </c>
      <c r="P153" s="124">
        <v>7.1245566531686233E-4</v>
      </c>
      <c r="Q153" s="124">
        <v>7.609749578731059E-4</v>
      </c>
      <c r="R153" s="124">
        <v>7.1490044102940676E-4</v>
      </c>
      <c r="S153" s="124">
        <v>8.1038007974705518E-4</v>
      </c>
      <c r="T153" s="124">
        <v>5.323302324937337E-4</v>
      </c>
      <c r="U153" s="124">
        <v>7.3253436378179133E-4</v>
      </c>
      <c r="V153" s="124">
        <v>6.098582872720086E-4</v>
      </c>
      <c r="W153" s="124">
        <v>4.1459571416278736E-4</v>
      </c>
      <c r="X153" s="124">
        <v>5.2005515010745094E-4</v>
      </c>
      <c r="Y153" s="124">
        <v>3.3074525142008052E-4</v>
      </c>
      <c r="Z153" s="124">
        <v>2.82780067783997E-4</v>
      </c>
      <c r="AA153" s="124">
        <v>5.8644255544204778E-4</v>
      </c>
      <c r="AB153" s="124">
        <v>8.4554287793061819E-4</v>
      </c>
      <c r="AC153" s="124">
        <v>7.3679694242063996E-4</v>
      </c>
    </row>
    <row r="154" spans="1:29" ht="15.75" customHeight="1" thickBot="1">
      <c r="A154" s="127" t="s">
        <v>524</v>
      </c>
      <c r="B154" s="124">
        <v>0</v>
      </c>
      <c r="C154" s="124">
        <v>0</v>
      </c>
      <c r="D154" s="124">
        <v>0</v>
      </c>
      <c r="E154" s="124">
        <v>0</v>
      </c>
      <c r="F154" s="124">
        <v>0</v>
      </c>
      <c r="G154" s="124">
        <v>0</v>
      </c>
      <c r="H154" s="124">
        <v>0</v>
      </c>
      <c r="I154" s="124">
        <v>0</v>
      </c>
      <c r="J154" s="124">
        <v>0</v>
      </c>
      <c r="K154" s="124">
        <v>0</v>
      </c>
      <c r="L154" s="124">
        <v>0</v>
      </c>
      <c r="M154" s="124">
        <v>9.989461116480294E-3</v>
      </c>
      <c r="N154" s="124">
        <v>7.0651491414198972E-3</v>
      </c>
      <c r="O154" s="124">
        <v>1.7346955725115631E-2</v>
      </c>
      <c r="P154" s="124">
        <v>6.4511459438800897E-3</v>
      </c>
      <c r="Q154" s="124">
        <v>7.1672094621925593E-3</v>
      </c>
      <c r="R154" s="124">
        <v>7.7800542282624096E-3</v>
      </c>
      <c r="S154" s="124">
        <v>8.5938876677006028E-3</v>
      </c>
      <c r="T154" s="124">
        <v>7.6855620487670234E-3</v>
      </c>
      <c r="U154" s="124">
        <v>7.5591281658111175E-3</v>
      </c>
      <c r="V154" s="124">
        <v>4.5542899508531952E-3</v>
      </c>
      <c r="W154" s="124">
        <v>4.3129300206089342E-3</v>
      </c>
      <c r="X154" s="124">
        <v>9.011603271995421E-3</v>
      </c>
      <c r="Y154" s="124">
        <v>3.9103675941514152E-3</v>
      </c>
      <c r="Z154" s="124">
        <v>4.4863991516090208E-3</v>
      </c>
      <c r="AA154" s="124">
        <v>5.5054070339290726E-3</v>
      </c>
      <c r="AB154" s="124">
        <v>4.9914483455156377E-3</v>
      </c>
      <c r="AC154" s="124">
        <v>4.0327510805739306E-3</v>
      </c>
    </row>
    <row r="155" spans="1:29" s="113" customFormat="1" ht="15.75" customHeight="1" thickBot="1">
      <c r="A155" s="118" t="s">
        <v>525</v>
      </c>
      <c r="B155" s="119">
        <v>1.8913692790585291E-3</v>
      </c>
      <c r="C155" s="119">
        <v>7.5592458688731141E-3</v>
      </c>
      <c r="D155" s="119">
        <v>1.8538290325750491E-2</v>
      </c>
      <c r="E155" s="119">
        <v>1.7498409519268229E-2</v>
      </c>
      <c r="F155" s="119">
        <v>1.6520623201684757E-2</v>
      </c>
      <c r="G155" s="119">
        <v>2.1210018093390758E-2</v>
      </c>
      <c r="H155" s="119">
        <v>2.2748065654960341E-2</v>
      </c>
      <c r="I155" s="119">
        <v>2.5203113133161495E-2</v>
      </c>
      <c r="J155" s="119">
        <v>2.4266812761434671E-2</v>
      </c>
      <c r="K155" s="119">
        <v>2.0232099287231176E-2</v>
      </c>
      <c r="L155" s="119">
        <v>2.1192947222552123E-2</v>
      </c>
      <c r="M155" s="119">
        <v>2.2971997614482063E-2</v>
      </c>
      <c r="N155" s="119">
        <v>1.1831969161064273E-2</v>
      </c>
      <c r="O155" s="119">
        <v>2.0044836800012927E-2</v>
      </c>
      <c r="P155" s="119">
        <v>2.0997031535147294E-2</v>
      </c>
      <c r="Q155" s="119">
        <v>1.7651547793545542E-2</v>
      </c>
      <c r="R155" s="119">
        <v>1.3534190068118191E-2</v>
      </c>
      <c r="S155" s="119">
        <v>-4.063435610655676E-3</v>
      </c>
      <c r="T155" s="119">
        <v>-2.0097816439014978E-2</v>
      </c>
      <c r="U155" s="119">
        <v>-2.5724547335692467E-2</v>
      </c>
      <c r="V155" s="119">
        <v>-1.8869012661345358E-2</v>
      </c>
      <c r="W155" s="119">
        <v>-1.716431499542442E-2</v>
      </c>
      <c r="X155" s="119">
        <v>-1.2865484005932664E-2</v>
      </c>
      <c r="Y155" s="119">
        <v>-9.7673348213869568E-2</v>
      </c>
      <c r="Z155" s="119">
        <v>-3.8911875215765683E-3</v>
      </c>
      <c r="AA155" s="119">
        <v>4.6041617293155869E-3</v>
      </c>
      <c r="AB155" s="119">
        <v>-2.0880214251389088E-2</v>
      </c>
      <c r="AC155" s="119">
        <v>-3.6547255221908706E-3</v>
      </c>
    </row>
    <row r="156" spans="1:29" s="113" customFormat="1" ht="15.75" customHeight="1" thickBot="1">
      <c r="A156" s="118" t="s">
        <v>526</v>
      </c>
      <c r="B156" s="119">
        <v>0</v>
      </c>
      <c r="C156" s="119">
        <v>0</v>
      </c>
      <c r="D156" s="119">
        <v>0</v>
      </c>
      <c r="E156" s="119">
        <v>0</v>
      </c>
      <c r="F156" s="119">
        <v>0</v>
      </c>
      <c r="G156" s="119">
        <v>0</v>
      </c>
      <c r="H156" s="119">
        <v>0</v>
      </c>
      <c r="I156" s="119">
        <v>1.3455834490551167E-3</v>
      </c>
      <c r="J156" s="119">
        <v>1.1055518855761462E-3</v>
      </c>
      <c r="K156" s="119">
        <v>1.0751590235050271E-3</v>
      </c>
      <c r="L156" s="119">
        <v>6.5718537025677936E-4</v>
      </c>
      <c r="M156" s="119">
        <v>3.9525412599205007E-4</v>
      </c>
      <c r="N156" s="119">
        <v>4.1195521374677775E-4</v>
      </c>
      <c r="O156" s="119">
        <v>3.4944474571876205E-4</v>
      </c>
      <c r="P156" s="119">
        <v>2.6000969171750197E-4</v>
      </c>
      <c r="Q156" s="119">
        <v>2.7286016356572996E-4</v>
      </c>
      <c r="R156" s="119">
        <v>1.6100401624910576E-4</v>
      </c>
      <c r="S156" s="119">
        <v>0</v>
      </c>
      <c r="T156" s="119">
        <v>6.4852783042784864E-4</v>
      </c>
      <c r="U156" s="119">
        <v>6.19463578930894E-4</v>
      </c>
      <c r="V156" s="119">
        <v>1.1506122784710737E-3</v>
      </c>
      <c r="W156" s="119">
        <v>9.4542720470625194E-4</v>
      </c>
      <c r="X156" s="119">
        <v>9.1494795317210097E-4</v>
      </c>
      <c r="Y156" s="119">
        <v>2.5187053712701752E-4</v>
      </c>
      <c r="Z156" s="119">
        <v>-5.0640654501625046E-5</v>
      </c>
      <c r="AA156" s="119">
        <v>8.1644546311807021E-4</v>
      </c>
      <c r="AB156" s="119">
        <v>-3.0023201397067429E-3</v>
      </c>
      <c r="AC156" s="119">
        <v>-3.6480179832830921E-5</v>
      </c>
    </row>
    <row r="157" spans="1:29" s="113" customFormat="1" ht="18">
      <c r="A157" s="143" t="s">
        <v>527</v>
      </c>
      <c r="B157" s="121">
        <v>0</v>
      </c>
      <c r="C157" s="121">
        <v>0</v>
      </c>
      <c r="D157" s="121">
        <v>0</v>
      </c>
      <c r="E157" s="121">
        <v>0</v>
      </c>
      <c r="F157" s="121">
        <v>0</v>
      </c>
      <c r="G157" s="121">
        <v>0</v>
      </c>
      <c r="H157" s="121">
        <v>0</v>
      </c>
      <c r="I157" s="121">
        <v>1.3455834490551167E-3</v>
      </c>
      <c r="J157" s="121">
        <v>1.1055518855761462E-3</v>
      </c>
      <c r="K157" s="121">
        <v>1.0751590235050271E-3</v>
      </c>
      <c r="L157" s="121">
        <v>6.5718537025677936E-4</v>
      </c>
      <c r="M157" s="121">
        <v>3.9525412599205007E-4</v>
      </c>
      <c r="N157" s="121">
        <v>4.1195521374677775E-4</v>
      </c>
      <c r="O157" s="121">
        <v>3.4944474571876205E-4</v>
      </c>
      <c r="P157" s="121">
        <v>2.6000969171750197E-4</v>
      </c>
      <c r="Q157" s="121">
        <v>2.7286016356572996E-4</v>
      </c>
      <c r="R157" s="121">
        <v>1.6100401624910576E-4</v>
      </c>
      <c r="S157" s="121">
        <v>0</v>
      </c>
      <c r="T157" s="121">
        <v>6.4852783042784864E-4</v>
      </c>
      <c r="U157" s="121">
        <v>5.9367134091383713E-4</v>
      </c>
      <c r="V157" s="121">
        <v>6.7750393816839983E-4</v>
      </c>
      <c r="W157" s="121">
        <v>7.0073001771733627E-4</v>
      </c>
      <c r="X157" s="121">
        <v>7.2696631984159516E-4</v>
      </c>
      <c r="Y157" s="121">
        <v>1.2251290227188825E-4</v>
      </c>
      <c r="Z157" s="121">
        <v>0</v>
      </c>
      <c r="AA157" s="121">
        <v>0</v>
      </c>
      <c r="AB157" s="121">
        <v>0</v>
      </c>
      <c r="AC157" s="121">
        <v>0</v>
      </c>
    </row>
    <row r="158" spans="1:29" s="113" customFormat="1" ht="18">
      <c r="A158" s="143" t="s">
        <v>528</v>
      </c>
      <c r="B158" s="121">
        <v>0</v>
      </c>
      <c r="C158" s="121">
        <v>0</v>
      </c>
      <c r="D158" s="121">
        <v>0</v>
      </c>
      <c r="E158" s="121">
        <v>0</v>
      </c>
      <c r="F158" s="121">
        <v>0</v>
      </c>
      <c r="G158" s="121">
        <v>0</v>
      </c>
      <c r="H158" s="121">
        <v>0</v>
      </c>
      <c r="I158" s="121">
        <v>0</v>
      </c>
      <c r="J158" s="121">
        <v>0</v>
      </c>
      <c r="K158" s="121">
        <v>0</v>
      </c>
      <c r="L158" s="121">
        <v>0</v>
      </c>
      <c r="M158" s="121">
        <v>0</v>
      </c>
      <c r="N158" s="121">
        <v>0</v>
      </c>
      <c r="O158" s="121">
        <v>0</v>
      </c>
      <c r="P158" s="121">
        <v>0</v>
      </c>
      <c r="Q158" s="121">
        <v>0</v>
      </c>
      <c r="R158" s="121">
        <v>0</v>
      </c>
      <c r="S158" s="121">
        <v>0</v>
      </c>
      <c r="T158" s="121">
        <v>0</v>
      </c>
      <c r="U158" s="121">
        <v>2.5792238017056717E-5</v>
      </c>
      <c r="V158" s="121">
        <v>4.7310834030267392E-4</v>
      </c>
      <c r="W158" s="121">
        <v>2.4469718698891572E-4</v>
      </c>
      <c r="X158" s="121">
        <v>1.8798163333050597E-4</v>
      </c>
      <c r="Y158" s="121">
        <v>1.2935763485512932E-4</v>
      </c>
      <c r="Z158" s="121">
        <v>-5.0640654501625046E-5</v>
      </c>
      <c r="AA158" s="121">
        <v>5.30025497557882E-5</v>
      </c>
      <c r="AB158" s="121">
        <v>7.5609320972314781E-5</v>
      </c>
      <c r="AC158" s="121">
        <v>-3.6480179832830921E-5</v>
      </c>
    </row>
    <row r="159" spans="1:29" s="113" customFormat="1" ht="18">
      <c r="A159" s="143" t="s">
        <v>529</v>
      </c>
      <c r="B159" s="121">
        <v>0</v>
      </c>
      <c r="C159" s="121">
        <v>0</v>
      </c>
      <c r="D159" s="121">
        <v>0</v>
      </c>
      <c r="E159" s="121">
        <v>0</v>
      </c>
      <c r="F159" s="121">
        <v>0</v>
      </c>
      <c r="G159" s="121">
        <v>0</v>
      </c>
      <c r="H159" s="121">
        <v>0</v>
      </c>
      <c r="I159" s="121">
        <v>0</v>
      </c>
      <c r="J159" s="121">
        <v>0</v>
      </c>
      <c r="K159" s="121">
        <v>0</v>
      </c>
      <c r="L159" s="121">
        <v>0</v>
      </c>
      <c r="M159" s="121">
        <v>0</v>
      </c>
      <c r="N159" s="121">
        <v>0</v>
      </c>
      <c r="O159" s="121">
        <v>0</v>
      </c>
      <c r="P159" s="121">
        <v>0</v>
      </c>
      <c r="Q159" s="121">
        <v>0</v>
      </c>
      <c r="R159" s="121">
        <v>0</v>
      </c>
      <c r="S159" s="121">
        <v>0</v>
      </c>
      <c r="T159" s="121">
        <v>0</v>
      </c>
      <c r="U159" s="121">
        <v>0</v>
      </c>
      <c r="V159" s="121">
        <v>0</v>
      </c>
      <c r="W159" s="121">
        <v>0</v>
      </c>
      <c r="X159" s="121">
        <v>0</v>
      </c>
      <c r="Y159" s="121">
        <v>0</v>
      </c>
      <c r="Z159" s="121">
        <v>0</v>
      </c>
      <c r="AA159" s="121">
        <v>0</v>
      </c>
      <c r="AB159" s="121">
        <v>-2.3747388034142014E-3</v>
      </c>
      <c r="AC159" s="121">
        <v>0</v>
      </c>
    </row>
    <row r="160" spans="1:29" s="113" customFormat="1" ht="18.75" thickBot="1">
      <c r="A160" s="143" t="s">
        <v>530</v>
      </c>
      <c r="B160" s="121">
        <v>0</v>
      </c>
      <c r="C160" s="121">
        <v>0</v>
      </c>
      <c r="D160" s="121">
        <v>0</v>
      </c>
      <c r="E160" s="121">
        <v>0</v>
      </c>
      <c r="F160" s="121">
        <v>0</v>
      </c>
      <c r="G160" s="121">
        <v>0</v>
      </c>
      <c r="H160" s="121">
        <v>0</v>
      </c>
      <c r="I160" s="121">
        <v>0</v>
      </c>
      <c r="J160" s="121">
        <v>0</v>
      </c>
      <c r="K160" s="121">
        <v>0</v>
      </c>
      <c r="L160" s="121">
        <v>0</v>
      </c>
      <c r="M160" s="121">
        <v>0</v>
      </c>
      <c r="N160" s="121">
        <v>0</v>
      </c>
      <c r="O160" s="121">
        <v>0</v>
      </c>
      <c r="P160" s="121">
        <v>0</v>
      </c>
      <c r="Q160" s="121">
        <v>0</v>
      </c>
      <c r="R160" s="121">
        <v>0</v>
      </c>
      <c r="S160" s="121">
        <v>0</v>
      </c>
      <c r="T160" s="121">
        <v>0</v>
      </c>
      <c r="U160" s="121">
        <v>0</v>
      </c>
      <c r="V160" s="121">
        <v>0</v>
      </c>
      <c r="W160" s="121">
        <v>0</v>
      </c>
      <c r="X160" s="121">
        <v>0</v>
      </c>
      <c r="Y160" s="121">
        <v>0</v>
      </c>
      <c r="Z160" s="121">
        <v>0</v>
      </c>
      <c r="AA160" s="121">
        <v>7.6344291336228188E-4</v>
      </c>
      <c r="AB160" s="121">
        <v>-7.0319065726485574E-4</v>
      </c>
      <c r="AC160" s="121">
        <v>0</v>
      </c>
    </row>
    <row r="161" spans="1:29" s="113" customFormat="1" ht="15.75" customHeight="1" thickBot="1">
      <c r="A161" s="118" t="s">
        <v>531</v>
      </c>
      <c r="B161" s="119">
        <v>-4.3864191126245441E-3</v>
      </c>
      <c r="C161" s="119">
        <v>-2.5295679215027725E-3</v>
      </c>
      <c r="D161" s="119">
        <v>2.3055739193772345E-3</v>
      </c>
      <c r="E161" s="119">
        <v>-4.6001814371661676E-4</v>
      </c>
      <c r="F161" s="119">
        <v>1.8446084864422554E-4</v>
      </c>
      <c r="G161" s="119">
        <v>2.2964534533517222E-4</v>
      </c>
      <c r="H161" s="119">
        <v>-1.9567758433483988E-4</v>
      </c>
      <c r="I161" s="119">
        <v>2.0913771702424648E-4</v>
      </c>
      <c r="J161" s="119">
        <v>3.0798366112048405E-4</v>
      </c>
      <c r="K161" s="119">
        <v>5.3115530164952287E-6</v>
      </c>
      <c r="L161" s="119">
        <v>2.2464359731777447E-7</v>
      </c>
      <c r="M161" s="119">
        <v>-4.3720748879305546E-4</v>
      </c>
      <c r="N161" s="119">
        <v>4.901626652939633E-4</v>
      </c>
      <c r="O161" s="119">
        <v>-1.3531208211271309E-4</v>
      </c>
      <c r="P161" s="119">
        <v>1.5000671559072136E-6</v>
      </c>
      <c r="Q161" s="119">
        <v>-4.4810110299542841E-5</v>
      </c>
      <c r="R161" s="119">
        <v>4.2635186774333535E-4</v>
      </c>
      <c r="S161" s="119">
        <v>5.2097660585852723E-4</v>
      </c>
      <c r="T161" s="119">
        <v>-6.969593894897701E-6</v>
      </c>
      <c r="U161" s="119">
        <v>-3.3198962335547773E-4</v>
      </c>
      <c r="V161" s="119">
        <v>-2.6695885608857208E-4</v>
      </c>
      <c r="W161" s="119">
        <v>-3.6663885501163178E-4</v>
      </c>
      <c r="X161" s="119">
        <v>-8.0500436948126463E-5</v>
      </c>
      <c r="Y161" s="119">
        <v>-5.1614840647910582E-4</v>
      </c>
      <c r="Z161" s="119">
        <v>-3.8599105768673233E-5</v>
      </c>
      <c r="AA161" s="119">
        <v>3.062552943987604E-5</v>
      </c>
      <c r="AB161" s="119">
        <v>-2.9040145622052021E-4</v>
      </c>
      <c r="AC161" s="119">
        <v>-1.7132755925681998E-4</v>
      </c>
    </row>
    <row r="162" spans="1:29" s="113" customFormat="1" ht="15.75" customHeight="1" thickBot="1">
      <c r="A162" s="118" t="s">
        <v>532</v>
      </c>
      <c r="B162" s="119">
        <v>-2.4950498335660149E-3</v>
      </c>
      <c r="C162" s="119">
        <v>5.0296779473703434E-3</v>
      </c>
      <c r="D162" s="119">
        <v>2.0843864245127727E-2</v>
      </c>
      <c r="E162" s="119">
        <v>1.7038391375551611E-2</v>
      </c>
      <c r="F162" s="119">
        <v>1.6705084050328983E-2</v>
      </c>
      <c r="G162" s="119">
        <v>2.1439663438725928E-2</v>
      </c>
      <c r="H162" s="119">
        <v>2.2552388070625502E-2</v>
      </c>
      <c r="I162" s="119">
        <v>2.6757834299240866E-2</v>
      </c>
      <c r="J162" s="119">
        <v>2.5680348308131311E-2</v>
      </c>
      <c r="K162" s="119">
        <v>2.1312569863752701E-2</v>
      </c>
      <c r="L162" s="119">
        <v>2.1850357236406222E-2</v>
      </c>
      <c r="M162" s="119">
        <v>2.2930044251681055E-2</v>
      </c>
      <c r="N162" s="119">
        <v>1.2734087040105013E-2</v>
      </c>
      <c r="O162" s="119">
        <v>2.0258969463618971E-2</v>
      </c>
      <c r="P162" s="119">
        <v>2.1258541294020696E-2</v>
      </c>
      <c r="Q162" s="119">
        <v>1.7879597846811729E-2</v>
      </c>
      <c r="R162" s="119">
        <v>1.4121545952110631E-2</v>
      </c>
      <c r="S162" s="119">
        <v>-3.5424590047971488E-3</v>
      </c>
      <c r="T162" s="119">
        <v>-1.9456258202482028E-2</v>
      </c>
      <c r="U162" s="119">
        <v>-2.5437073380117046E-2</v>
      </c>
      <c r="V162" s="119">
        <v>-1.7985359238962859E-2</v>
      </c>
      <c r="W162" s="119">
        <v>-1.6585526645729799E-2</v>
      </c>
      <c r="X162" s="119">
        <v>-1.203103648970869E-2</v>
      </c>
      <c r="Y162" s="119">
        <v>-9.7937626083221652E-2</v>
      </c>
      <c r="Z162" s="119">
        <v>-3.9804272818468661E-3</v>
      </c>
      <c r="AA162" s="119">
        <v>5.4512327218735335E-3</v>
      </c>
      <c r="AB162" s="119">
        <v>-2.4172935847316356E-2</v>
      </c>
      <c r="AC162" s="119">
        <v>-3.8625332612805229E-3</v>
      </c>
    </row>
    <row r="163" spans="1:29" s="113" customFormat="1" ht="18.75" thickBot="1">
      <c r="A163" s="118" t="s">
        <v>533</v>
      </c>
      <c r="B163" s="119">
        <v>-1.9884187321944205E-2</v>
      </c>
      <c r="C163" s="119">
        <v>-5.0023893825615985E-2</v>
      </c>
      <c r="D163" s="119">
        <v>-4.5056189123852348E-2</v>
      </c>
      <c r="E163" s="119">
        <v>-3.7901201335077551E-2</v>
      </c>
      <c r="F163" s="119">
        <v>-3.5913241834132997E-2</v>
      </c>
      <c r="G163" s="119">
        <v>-2.8176119639013029E-2</v>
      </c>
      <c r="H163" s="119">
        <v>-5.873069769244342E-2</v>
      </c>
      <c r="I163" s="119">
        <v>-4.0566194545603278E-2</v>
      </c>
      <c r="J163" s="119">
        <v>-5.9442685625277866E-2</v>
      </c>
      <c r="K163" s="119">
        <v>-5.2222133517654701E-2</v>
      </c>
      <c r="L163" s="119">
        <v>-4.3762571726630291E-2</v>
      </c>
      <c r="M163" s="119">
        <v>-3.0934010091560157E-2</v>
      </c>
      <c r="N163" s="119">
        <v>-4.4945883977030331E-2</v>
      </c>
      <c r="O163" s="119">
        <v>-3.204159673175444E-2</v>
      </c>
      <c r="P163" s="119">
        <v>-4.1256240765637796E-2</v>
      </c>
      <c r="Q163" s="119">
        <v>-3.0586702683851292E-2</v>
      </c>
      <c r="R163" s="119">
        <v>-3.485726393110964E-2</v>
      </c>
      <c r="S163" s="119">
        <v>-4.3445623338434609E-2</v>
      </c>
      <c r="T163" s="119">
        <v>-6.6253258114866875E-2</v>
      </c>
      <c r="U163" s="119">
        <v>-5.0780903770250387E-2</v>
      </c>
      <c r="V163" s="119">
        <v>-5.1766514487678709E-2</v>
      </c>
      <c r="W163" s="119">
        <v>-4.4303381404432615E-2</v>
      </c>
      <c r="X163" s="119">
        <v>-4.1969084699524928E-2</v>
      </c>
      <c r="Y163" s="119">
        <v>-3.5042226924695462E-2</v>
      </c>
      <c r="Z163" s="119">
        <v>-4.5192611834297146E-2</v>
      </c>
      <c r="AA163" s="119">
        <v>-4.9925648662676861E-2</v>
      </c>
      <c r="AB163" s="119">
        <v>-5.6157244841217924E-2</v>
      </c>
      <c r="AC163" s="119">
        <v>-7.2816301539659914E-2</v>
      </c>
    </row>
    <row r="164" spans="1:29" s="113" customFormat="1" ht="18.75" thickBot="1">
      <c r="A164" s="118" t="s">
        <v>534</v>
      </c>
      <c r="B164" s="119">
        <v>-2.2379237155510222E-2</v>
      </c>
      <c r="C164" s="119">
        <v>-4.4994215878245647E-2</v>
      </c>
      <c r="D164" s="119">
        <v>-2.4212324878724625E-2</v>
      </c>
      <c r="E164" s="119">
        <v>-2.0862809959525937E-2</v>
      </c>
      <c r="F164" s="119">
        <v>-1.9208157783804022E-2</v>
      </c>
      <c r="G164" s="119">
        <v>-6.7364562002870977E-3</v>
      </c>
      <c r="H164" s="119">
        <v>-3.6178309621817915E-2</v>
      </c>
      <c r="I164" s="119">
        <v>-1.3808360246362408E-2</v>
      </c>
      <c r="J164" s="119">
        <v>-3.3762337317146555E-2</v>
      </c>
      <c r="K164" s="119">
        <v>-3.0909563653901996E-2</v>
      </c>
      <c r="L164" s="119">
        <v>-2.1912214490224076E-2</v>
      </c>
      <c r="M164" s="119">
        <v>-8.0039658398790951E-3</v>
      </c>
      <c r="N164" s="119">
        <v>-3.2211796936925316E-2</v>
      </c>
      <c r="O164" s="119">
        <v>-1.1782627268135469E-2</v>
      </c>
      <c r="P164" s="119">
        <v>-1.9997699471617093E-2</v>
      </c>
      <c r="Q164" s="119">
        <v>-1.2707104837039563E-2</v>
      </c>
      <c r="R164" s="119">
        <v>-2.0735717978999004E-2</v>
      </c>
      <c r="S164" s="119">
        <v>-4.6988082343231749E-2</v>
      </c>
      <c r="T164" s="119">
        <v>-8.5709516317348897E-2</v>
      </c>
      <c r="U164" s="119">
        <v>-7.6217977150367447E-2</v>
      </c>
      <c r="V164" s="119">
        <v>-6.9751873726641545E-2</v>
      </c>
      <c r="W164" s="119">
        <v>-6.0888908050162428E-2</v>
      </c>
      <c r="X164" s="119">
        <v>-5.400012118923362E-2</v>
      </c>
      <c r="Y164" s="119">
        <v>-0.13297985300791712</v>
      </c>
      <c r="Z164" s="119">
        <v>-4.9173039116144013E-2</v>
      </c>
      <c r="AA164" s="119">
        <v>-4.4474415940803334E-2</v>
      </c>
      <c r="AB164" s="119">
        <v>-8.0330180688534272E-2</v>
      </c>
      <c r="AC164" s="119">
        <v>-7.667883480094044E-2</v>
      </c>
    </row>
    <row r="165" spans="1:29" ht="15.75" customHeight="1" thickBot="1">
      <c r="A165" s="144"/>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row>
    <row r="166" spans="1:29" ht="15.75" customHeight="1" thickBot="1">
      <c r="A166" s="146" t="s">
        <v>363</v>
      </c>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c r="AA166" s="147"/>
      <c r="AB166" s="147"/>
      <c r="AC166" s="147"/>
    </row>
    <row r="167" spans="1:29" ht="15.75" customHeight="1">
      <c r="A167" s="120" t="s">
        <v>535</v>
      </c>
      <c r="B167" s="121">
        <v>4.6488035994946685E-2</v>
      </c>
      <c r="C167" s="121">
        <v>4.6175244321739591E-2</v>
      </c>
      <c r="D167" s="121">
        <v>4.5108770755508926E-2</v>
      </c>
      <c r="E167" s="121">
        <v>4.6464433468791651E-2</v>
      </c>
      <c r="F167" s="121">
        <v>4.7495063764903152E-2</v>
      </c>
      <c r="G167" s="121">
        <v>4.7708414463861405E-2</v>
      </c>
      <c r="H167" s="121">
        <v>4.6992130941353648E-2</v>
      </c>
      <c r="I167" s="121">
        <v>4.7894431964355604E-2</v>
      </c>
      <c r="J167" s="121">
        <v>4.9956173742337087E-2</v>
      </c>
      <c r="K167" s="121">
        <v>5.1264892243073498E-2</v>
      </c>
      <c r="L167" s="121">
        <v>5.1616991409922618E-2</v>
      </c>
      <c r="M167" s="121">
        <v>5.2529136652493563E-2</v>
      </c>
      <c r="N167" s="121">
        <v>5.4607349264499616E-2</v>
      </c>
      <c r="O167" s="121">
        <v>5.4548822551644879E-2</v>
      </c>
      <c r="P167" s="121">
        <v>5.6186123881189272E-2</v>
      </c>
      <c r="Q167" s="121">
        <v>5.7274856632284731E-2</v>
      </c>
      <c r="R167" s="121">
        <v>5.7608577274713961E-2</v>
      </c>
      <c r="S167" s="121">
        <v>5.8402124542588973E-2</v>
      </c>
      <c r="T167" s="121">
        <v>5.8419687676947045E-2</v>
      </c>
      <c r="U167" s="121">
        <v>5.7125312095509161E-2</v>
      </c>
      <c r="V167" s="121">
        <v>5.6910792406502979E-2</v>
      </c>
      <c r="W167" s="121">
        <v>5.5850074550086212E-2</v>
      </c>
      <c r="X167" s="121">
        <v>5.5937740800515286E-2</v>
      </c>
      <c r="Y167" s="121">
        <v>5.319237189365357E-2</v>
      </c>
      <c r="Z167" s="121">
        <v>5.1291259598769089E-2</v>
      </c>
      <c r="AA167" s="121">
        <v>5.3147528465929128E-2</v>
      </c>
      <c r="AB167" s="121">
        <v>5.4157712726628227E-2</v>
      </c>
      <c r="AC167" s="121">
        <v>5.4591001118416464E-2</v>
      </c>
    </row>
    <row r="168" spans="1:29" ht="15.75" customHeight="1">
      <c r="A168" s="148" t="s">
        <v>536</v>
      </c>
      <c r="B168" s="124">
        <v>4.6488035994946685E-2</v>
      </c>
      <c r="C168" s="124">
        <v>4.6175244321739591E-2</v>
      </c>
      <c r="D168" s="124">
        <v>4.5108770755508926E-2</v>
      </c>
      <c r="E168" s="124">
        <v>4.6464433468791651E-2</v>
      </c>
      <c r="F168" s="124">
        <v>4.7495063764903152E-2</v>
      </c>
      <c r="G168" s="124">
        <v>4.7708414463861405E-2</v>
      </c>
      <c r="H168" s="124">
        <v>4.6992130941353648E-2</v>
      </c>
      <c r="I168" s="124">
        <v>4.7894431964355604E-2</v>
      </c>
      <c r="J168" s="124">
        <v>4.9956173742337087E-2</v>
      </c>
      <c r="K168" s="124">
        <v>5.1264892243073498E-2</v>
      </c>
      <c r="L168" s="124">
        <v>5.1616991409922618E-2</v>
      </c>
      <c r="M168" s="124">
        <v>5.2529136652493563E-2</v>
      </c>
      <c r="N168" s="124">
        <v>5.4607349264499616E-2</v>
      </c>
      <c r="O168" s="124">
        <v>5.4548822551644879E-2</v>
      </c>
      <c r="P168" s="124">
        <v>5.6186123881189272E-2</v>
      </c>
      <c r="Q168" s="124">
        <v>5.6903083168989385E-2</v>
      </c>
      <c r="R168" s="124">
        <v>5.591683598550503E-2</v>
      </c>
      <c r="S168" s="124">
        <v>5.5278375292369578E-2</v>
      </c>
      <c r="T168" s="124">
        <v>5.4182216651720523E-2</v>
      </c>
      <c r="U168" s="124">
        <v>5.431906077189836E-2</v>
      </c>
      <c r="V168" s="124">
        <v>5.4799882934359057E-2</v>
      </c>
      <c r="W168" s="124">
        <v>5.3917711966265297E-2</v>
      </c>
      <c r="X168" s="124">
        <v>5.455802104717021E-2</v>
      </c>
      <c r="Y168" s="124">
        <v>5.1956142169623742E-2</v>
      </c>
      <c r="Z168" s="124">
        <v>5.0484425884811036E-2</v>
      </c>
      <c r="AA168" s="124">
        <v>5.2840366827858296E-2</v>
      </c>
      <c r="AB168" s="124">
        <v>5.4157712726628227E-2</v>
      </c>
      <c r="AC168" s="124">
        <v>5.4591001118416464E-2</v>
      </c>
    </row>
    <row r="169" spans="1:29" ht="15.75" customHeight="1">
      <c r="A169" s="148" t="s">
        <v>537</v>
      </c>
      <c r="B169" s="124">
        <v>0</v>
      </c>
      <c r="C169" s="124">
        <v>0</v>
      </c>
      <c r="D169" s="124">
        <v>0</v>
      </c>
      <c r="E169" s="124">
        <v>0</v>
      </c>
      <c r="F169" s="124">
        <v>0</v>
      </c>
      <c r="G169" s="124">
        <v>0</v>
      </c>
      <c r="H169" s="124">
        <v>0</v>
      </c>
      <c r="I169" s="124">
        <v>0</v>
      </c>
      <c r="J169" s="124">
        <v>0</v>
      </c>
      <c r="K169" s="124">
        <v>0</v>
      </c>
      <c r="L169" s="124">
        <v>0</v>
      </c>
      <c r="M169" s="124">
        <v>0</v>
      </c>
      <c r="N169" s="124">
        <v>0</v>
      </c>
      <c r="O169" s="124">
        <v>0</v>
      </c>
      <c r="P169" s="124">
        <v>0</v>
      </c>
      <c r="Q169" s="124">
        <v>3.7177346329534354E-4</v>
      </c>
      <c r="R169" s="124">
        <v>1.6917412892089396E-3</v>
      </c>
      <c r="S169" s="124">
        <v>3.1237492502194011E-3</v>
      </c>
      <c r="T169" s="124">
        <v>4.2374710252265097E-3</v>
      </c>
      <c r="U169" s="124">
        <v>2.8062513236107888E-3</v>
      </c>
      <c r="V169" s="124">
        <v>2.1109094721439292E-3</v>
      </c>
      <c r="W169" s="124">
        <v>1.9323625838209215E-3</v>
      </c>
      <c r="X169" s="124">
        <v>1.3797197533450577E-3</v>
      </c>
      <c r="Y169" s="124">
        <v>1.2362297240298204E-3</v>
      </c>
      <c r="Z169" s="124">
        <v>8.068337139580477E-4</v>
      </c>
      <c r="AA169" s="124">
        <v>3.0716163807082471E-4</v>
      </c>
      <c r="AB169" s="124">
        <v>0</v>
      </c>
      <c r="AC169" s="124">
        <v>0</v>
      </c>
    </row>
    <row r="170" spans="1:29" ht="15.75" customHeight="1">
      <c r="A170" s="148"/>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row>
    <row r="171" spans="1:29" ht="15.75" customHeight="1">
      <c r="A171" s="149" t="s">
        <v>538</v>
      </c>
      <c r="B171" s="121">
        <v>0</v>
      </c>
      <c r="C171" s="121">
        <v>0</v>
      </c>
      <c r="D171" s="121">
        <v>0</v>
      </c>
      <c r="E171" s="121">
        <v>0</v>
      </c>
      <c r="F171" s="121">
        <v>0</v>
      </c>
      <c r="G171" s="121">
        <v>0</v>
      </c>
      <c r="H171" s="121">
        <v>0</v>
      </c>
      <c r="I171" s="121">
        <v>0</v>
      </c>
      <c r="J171" s="121">
        <v>0</v>
      </c>
      <c r="K171" s="121">
        <v>0</v>
      </c>
      <c r="L171" s="121">
        <v>0</v>
      </c>
      <c r="M171" s="121">
        <v>0</v>
      </c>
      <c r="N171" s="121">
        <v>0</v>
      </c>
      <c r="O171" s="121">
        <v>0</v>
      </c>
      <c r="P171" s="121">
        <v>7.4595475864544895E-3</v>
      </c>
      <c r="Q171" s="121">
        <v>7.405837352501987E-3</v>
      </c>
      <c r="R171" s="121">
        <v>6.9879418971311369E-3</v>
      </c>
      <c r="S171" s="121">
        <v>7.1714756567730197E-3</v>
      </c>
      <c r="T171" s="121">
        <v>7.0732250389531088E-3</v>
      </c>
      <c r="U171" s="121">
        <v>7.8704106001924717E-3</v>
      </c>
      <c r="V171" s="121">
        <v>6.8291155412522871E-3</v>
      </c>
      <c r="W171" s="121">
        <v>6.6443297682629463E-3</v>
      </c>
      <c r="X171" s="121">
        <v>6.2870947293015358E-3</v>
      </c>
      <c r="Y171" s="121">
        <v>5.931011784212608E-3</v>
      </c>
      <c r="Z171" s="121">
        <v>5.0755185779403677E-3</v>
      </c>
      <c r="AA171" s="121">
        <v>5.1521289244039065E-3</v>
      </c>
      <c r="AB171" s="121">
        <v>5.2087105104201203E-3</v>
      </c>
      <c r="AC171" s="121">
        <v>5.225887678486898E-3</v>
      </c>
    </row>
    <row r="172" spans="1:29" ht="15.75" customHeight="1">
      <c r="A172" s="149" t="s">
        <v>539</v>
      </c>
      <c r="B172" s="121">
        <v>0</v>
      </c>
      <c r="C172" s="121">
        <v>0</v>
      </c>
      <c r="D172" s="121">
        <v>0</v>
      </c>
      <c r="E172" s="121">
        <v>0</v>
      </c>
      <c r="F172" s="121">
        <v>0</v>
      </c>
      <c r="G172" s="121">
        <v>0</v>
      </c>
      <c r="H172" s="121">
        <v>0</v>
      </c>
      <c r="I172" s="121">
        <v>0</v>
      </c>
      <c r="J172" s="121">
        <v>0</v>
      </c>
      <c r="K172" s="121">
        <v>0</v>
      </c>
      <c r="L172" s="121">
        <v>0</v>
      </c>
      <c r="M172" s="121">
        <v>9.0378146065887375E-3</v>
      </c>
      <c r="N172" s="121">
        <v>1.0203382134485314E-2</v>
      </c>
      <c r="O172" s="121">
        <v>1.1513890692119009E-2</v>
      </c>
      <c r="P172" s="121">
        <v>1.2026069002470243E-2</v>
      </c>
      <c r="Q172" s="121">
        <v>1.2347205116560966E-2</v>
      </c>
      <c r="R172" s="121">
        <v>1.1858353955723802E-2</v>
      </c>
      <c r="S172" s="121">
        <v>1.3416910732669865E-2</v>
      </c>
      <c r="T172" s="121">
        <v>9.2618290934270518E-3</v>
      </c>
      <c r="U172" s="121">
        <v>1.0338089091126906E-2</v>
      </c>
      <c r="V172" s="121">
        <v>6.938600022944265E-3</v>
      </c>
      <c r="W172" s="121">
        <v>7.5858877122391144E-3</v>
      </c>
      <c r="X172" s="121">
        <v>7.6590002124049227E-3</v>
      </c>
      <c r="Y172" s="121">
        <v>1.3785815161197713E-2</v>
      </c>
      <c r="Z172" s="121">
        <v>6.3057412566293047E-3</v>
      </c>
      <c r="AA172" s="121">
        <v>4.469850269669731E-3</v>
      </c>
      <c r="AB172" s="121">
        <v>7.4351427918006672E-3</v>
      </c>
      <c r="AC172" s="121">
        <v>7.3311393005670994E-3</v>
      </c>
    </row>
    <row r="173" spans="1:29" ht="15.75" customHeight="1">
      <c r="A173" s="148"/>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row>
    <row r="174" spans="1:29" ht="15.75" customHeight="1">
      <c r="A174" s="120" t="s">
        <v>540</v>
      </c>
      <c r="B174" s="121">
        <v>0</v>
      </c>
      <c r="C174" s="121">
        <v>0</v>
      </c>
      <c r="D174" s="121">
        <v>0</v>
      </c>
      <c r="E174" s="121">
        <v>0</v>
      </c>
      <c r="F174" s="121">
        <v>0</v>
      </c>
      <c r="G174" s="121">
        <v>0</v>
      </c>
      <c r="H174" s="121">
        <v>0</v>
      </c>
      <c r="I174" s="121">
        <v>0</v>
      </c>
      <c r="J174" s="121">
        <v>0</v>
      </c>
      <c r="K174" s="121">
        <v>0</v>
      </c>
      <c r="L174" s="121">
        <v>2.6982854153982392E-3</v>
      </c>
      <c r="M174" s="121">
        <v>3.6530787215786698E-3</v>
      </c>
      <c r="N174" s="121">
        <v>5.3809069483478095E-3</v>
      </c>
      <c r="O174" s="121">
        <v>5.6826743378180274E-3</v>
      </c>
      <c r="P174" s="121">
        <v>6.4030477778234179E-3</v>
      </c>
      <c r="Q174" s="121">
        <v>8.1638370384035739E-3</v>
      </c>
      <c r="R174" s="121">
        <v>8.3867226027605404E-3</v>
      </c>
      <c r="S174" s="121">
        <v>9.9841683523389443E-3</v>
      </c>
      <c r="T174" s="121">
        <v>7.8820774495490745E-3</v>
      </c>
      <c r="U174" s="121">
        <v>6.7060996919138995E-3</v>
      </c>
      <c r="V174" s="121">
        <v>4.4944391228092396E-3</v>
      </c>
      <c r="W174" s="121">
        <v>3.9399041354725309E-3</v>
      </c>
      <c r="X174" s="121">
        <v>3.6649750446900798E-3</v>
      </c>
      <c r="Y174" s="121">
        <v>0</v>
      </c>
      <c r="Z174" s="121">
        <v>0</v>
      </c>
      <c r="AA174" s="121">
        <v>0</v>
      </c>
      <c r="AB174" s="121">
        <v>0</v>
      </c>
      <c r="AC174" s="121">
        <v>0</v>
      </c>
    </row>
    <row r="175" spans="1:29" ht="15.75" customHeight="1">
      <c r="A175" s="148" t="s">
        <v>541</v>
      </c>
      <c r="B175" s="121">
        <v>0</v>
      </c>
      <c r="C175" s="121">
        <v>0</v>
      </c>
      <c r="D175" s="121">
        <v>0</v>
      </c>
      <c r="E175" s="121">
        <v>0</v>
      </c>
      <c r="F175" s="121">
        <v>0</v>
      </c>
      <c r="G175" s="121">
        <v>0</v>
      </c>
      <c r="H175" s="121">
        <v>0</v>
      </c>
      <c r="I175" s="121">
        <v>0</v>
      </c>
      <c r="J175" s="121">
        <v>0</v>
      </c>
      <c r="K175" s="121">
        <v>0</v>
      </c>
      <c r="L175" s="121">
        <v>0</v>
      </c>
      <c r="M175" s="121">
        <v>0</v>
      </c>
      <c r="N175" s="121">
        <v>4.7159910075068807E-4</v>
      </c>
      <c r="O175" s="121">
        <v>4.0454500654966714E-4</v>
      </c>
      <c r="P175" s="121">
        <v>1.762126186006546E-3</v>
      </c>
      <c r="Q175" s="121">
        <v>2.3369700725320041E-3</v>
      </c>
      <c r="R175" s="121">
        <v>2.6609527481712995E-3</v>
      </c>
      <c r="S175" s="121">
        <v>3.0162421729098814E-3</v>
      </c>
      <c r="T175" s="121">
        <v>3.4539562588623202E-3</v>
      </c>
      <c r="U175" s="121">
        <v>1.2705164777329411E-3</v>
      </c>
      <c r="V175" s="121">
        <v>5.4938175478552221E-4</v>
      </c>
      <c r="W175" s="121">
        <v>6.5239800313979506E-4</v>
      </c>
      <c r="X175" s="121">
        <v>6.2827325706006436E-4</v>
      </c>
      <c r="Y175" s="121">
        <v>3.3482541019940994E-4</v>
      </c>
      <c r="Z175" s="121">
        <v>1.5534706065230153E-4</v>
      </c>
      <c r="AA175" s="121">
        <v>7.4331057992948107E-5</v>
      </c>
      <c r="AB175" s="121">
        <v>8.5241193033132974E-4</v>
      </c>
      <c r="AC175" s="121">
        <v>1.0975961320219903E-3</v>
      </c>
    </row>
    <row r="177" spans="1:29" s="122" customFormat="1" ht="15.75" customHeight="1" thickBot="1">
      <c r="A177" s="150" t="s">
        <v>542</v>
      </c>
      <c r="B177" s="151">
        <v>0</v>
      </c>
      <c r="C177" s="151">
        <v>0</v>
      </c>
      <c r="D177" s="151">
        <v>0</v>
      </c>
      <c r="E177" s="151">
        <v>0</v>
      </c>
      <c r="F177" s="151">
        <v>0</v>
      </c>
      <c r="G177" s="151">
        <v>0</v>
      </c>
      <c r="H177" s="151">
        <v>0</v>
      </c>
      <c r="I177" s="151">
        <v>0</v>
      </c>
      <c r="J177" s="151">
        <v>0</v>
      </c>
      <c r="K177" s="151">
        <v>0</v>
      </c>
      <c r="L177" s="151">
        <v>0</v>
      </c>
      <c r="M177" s="151">
        <v>-4.5803543158782324E-3</v>
      </c>
      <c r="N177" s="151">
        <v>0</v>
      </c>
      <c r="O177" s="151">
        <v>0</v>
      </c>
      <c r="P177" s="151">
        <v>0</v>
      </c>
      <c r="Q177" s="151">
        <v>2.57541393567724E-3</v>
      </c>
      <c r="R177" s="151">
        <v>0</v>
      </c>
      <c r="S177" s="151">
        <v>0</v>
      </c>
      <c r="T177" s="151">
        <v>1.4260012906379581E-4</v>
      </c>
      <c r="U177" s="151">
        <v>0</v>
      </c>
      <c r="V177" s="151">
        <v>0</v>
      </c>
      <c r="W177" s="151">
        <v>5.7408539255580612E-4</v>
      </c>
      <c r="X177" s="151">
        <v>0</v>
      </c>
      <c r="Y177" s="151">
        <v>0</v>
      </c>
      <c r="Z177" s="151">
        <v>0</v>
      </c>
      <c r="AA177" s="151">
        <v>0</v>
      </c>
      <c r="AB177" s="151">
        <v>0</v>
      </c>
      <c r="AC177" s="151">
        <v>0</v>
      </c>
    </row>
    <row r="178" spans="1:29" thickBot="1">
      <c r="A178" s="152"/>
      <c r="B178" s="153"/>
      <c r="C178" s="153"/>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c r="AA178" s="153"/>
      <c r="AB178" s="153"/>
      <c r="AC178" s="153"/>
    </row>
    <row r="179" spans="1:29" customFormat="1" ht="16.5" thickBot="1">
      <c r="A179" s="154" t="s">
        <v>543</v>
      </c>
      <c r="B179" s="117">
        <v>1997</v>
      </c>
      <c r="C179" s="117">
        <v>1998</v>
      </c>
      <c r="D179" s="117">
        <v>1999</v>
      </c>
      <c r="E179" s="117">
        <v>2000</v>
      </c>
      <c r="F179" s="117">
        <v>2001</v>
      </c>
      <c r="G179" s="117">
        <v>2002</v>
      </c>
      <c r="H179" s="117">
        <v>2003</v>
      </c>
      <c r="I179" s="117">
        <v>2004</v>
      </c>
      <c r="J179" s="117">
        <v>2005</v>
      </c>
      <c r="K179" s="117">
        <v>2006</v>
      </c>
      <c r="L179" s="117">
        <v>2007</v>
      </c>
      <c r="M179" s="117">
        <v>2008</v>
      </c>
      <c r="N179" s="117">
        <v>2009</v>
      </c>
      <c r="O179" s="117">
        <v>2010</v>
      </c>
      <c r="P179" s="117">
        <v>2011</v>
      </c>
      <c r="Q179" s="117">
        <v>2012</v>
      </c>
      <c r="R179" s="117">
        <v>2013</v>
      </c>
      <c r="S179" s="117">
        <v>2014</v>
      </c>
      <c r="T179" s="117">
        <v>2015</v>
      </c>
      <c r="U179" s="117">
        <v>2016</v>
      </c>
      <c r="V179" s="117">
        <v>2017</v>
      </c>
      <c r="W179" s="117">
        <v>2018</v>
      </c>
      <c r="X179" s="117">
        <v>2019</v>
      </c>
      <c r="Y179" s="117">
        <v>2020</v>
      </c>
      <c r="Z179" s="117">
        <v>2021</v>
      </c>
      <c r="AA179" s="117">
        <v>2022</v>
      </c>
      <c r="AB179" s="117">
        <v>2023</v>
      </c>
      <c r="AC179" s="117">
        <v>2024</v>
      </c>
    </row>
    <row r="180" spans="1:29" customFormat="1" ht="16.5" thickBot="1">
      <c r="A180" s="155" t="s">
        <v>544</v>
      </c>
      <c r="B180" s="156">
        <v>952089.2</v>
      </c>
      <c r="C180" s="156">
        <v>1002351</v>
      </c>
      <c r="D180" s="156">
        <v>1087710.5</v>
      </c>
      <c r="E180" s="156">
        <v>1199092.0709402103</v>
      </c>
      <c r="F180" s="156">
        <v>1315755.4678309301</v>
      </c>
      <c r="G180" s="156">
        <v>1488787.255158368</v>
      </c>
      <c r="H180" s="156">
        <v>1717950.3964244891</v>
      </c>
      <c r="I180" s="156">
        <v>1957751.2129625601</v>
      </c>
      <c r="J180" s="156">
        <v>2170584.5034757694</v>
      </c>
      <c r="K180" s="156">
        <v>2409449.9215425942</v>
      </c>
      <c r="L180" s="156">
        <v>2720262.9375612903</v>
      </c>
      <c r="M180" s="156">
        <v>3109803.0889492161</v>
      </c>
      <c r="N180" s="156">
        <v>3333039.3551809732</v>
      </c>
      <c r="O180" s="156">
        <v>3885846.999836843</v>
      </c>
      <c r="P180" s="156">
        <v>4376381.9998537563</v>
      </c>
      <c r="Q180" s="156">
        <v>4814759.9996344866</v>
      </c>
      <c r="R180" s="156">
        <v>5331618.9996270835</v>
      </c>
      <c r="S180" s="156">
        <v>5778953.0000085933</v>
      </c>
      <c r="T180" s="156">
        <v>5995786.9997263039</v>
      </c>
      <c r="U180" s="156">
        <v>6269328.000659178</v>
      </c>
      <c r="V180" s="156">
        <v>6585479.0001397831</v>
      </c>
      <c r="W180" s="156">
        <v>7004140.9998933682</v>
      </c>
      <c r="X180" s="156">
        <v>7389130.9994532801</v>
      </c>
      <c r="Y180" s="156">
        <v>7609597.0005758246</v>
      </c>
      <c r="Z180" s="156">
        <v>9012141.9992844779</v>
      </c>
      <c r="AA180" s="156">
        <v>10079676.679176031</v>
      </c>
      <c r="AB180" s="156">
        <v>10943344.66790504</v>
      </c>
      <c r="AC180" s="156">
        <v>11744710.041818669</v>
      </c>
    </row>
    <row r="181" spans="1:29" s="160" customFormat="1" ht="11.25" customHeight="1">
      <c r="A181" s="157"/>
      <c r="B181" s="158"/>
      <c r="C181" s="158"/>
      <c r="D181" s="158"/>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c r="AA181" s="158"/>
      <c r="AB181" s="159"/>
      <c r="AC181" s="159"/>
    </row>
    <row r="182" spans="1:29" s="161" customFormat="1" ht="15.75" customHeight="1">
      <c r="A182" s="161" t="s">
        <v>545</v>
      </c>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row>
    <row r="183" spans="1:29" ht="15">
      <c r="A183" s="163" t="s">
        <v>546</v>
      </c>
    </row>
    <row r="184" spans="1:29" ht="44.45" customHeight="1">
      <c r="A184" s="163" t="s">
        <v>547</v>
      </c>
    </row>
    <row r="185" spans="1:29" ht="34.9" customHeight="1">
      <c r="A185" s="164" t="s">
        <v>548</v>
      </c>
    </row>
    <row r="186" spans="1:29" ht="30" customHeight="1">
      <c r="A186" s="164" t="s">
        <v>549</v>
      </c>
    </row>
    <row r="187" spans="1:29" ht="17.25" customHeight="1">
      <c r="A187" s="164" t="s">
        <v>550</v>
      </c>
    </row>
    <row r="188" spans="1:29" ht="20.45" customHeight="1">
      <c r="A188" s="163" t="s">
        <v>551</v>
      </c>
    </row>
    <row r="189" spans="1:29" ht="38.25">
      <c r="A189" s="164" t="s">
        <v>552</v>
      </c>
    </row>
    <row r="190" spans="1:29" ht="31.15" customHeight="1">
      <c r="A190" s="164" t="s">
        <v>553</v>
      </c>
    </row>
    <row r="191" spans="1:29" ht="21" customHeight="1">
      <c r="A191" s="164" t="s">
        <v>554</v>
      </c>
    </row>
    <row r="192" spans="1:29" ht="76.900000000000006" customHeight="1">
      <c r="A192" s="164" t="s">
        <v>555</v>
      </c>
    </row>
    <row r="193" spans="1:1" ht="76.5">
      <c r="A193" s="163" t="s">
        <v>556</v>
      </c>
    </row>
    <row r="194" spans="1:1" ht="103.9" customHeight="1">
      <c r="A194" s="164" t="s">
        <v>557</v>
      </c>
    </row>
    <row r="195" spans="1:1" ht="18.600000000000001" customHeight="1">
      <c r="A195" s="164" t="s">
        <v>558</v>
      </c>
    </row>
    <row r="196" spans="1:1" ht="35.450000000000003" customHeight="1">
      <c r="A196" s="164" t="s">
        <v>559</v>
      </c>
    </row>
    <row r="197" spans="1:1" ht="38.25">
      <c r="A197" s="163" t="s">
        <v>560</v>
      </c>
    </row>
    <row r="198" spans="1:1" ht="33.6" customHeight="1">
      <c r="A198" s="164" t="s">
        <v>561</v>
      </c>
    </row>
  </sheetData>
  <hyperlinks>
    <hyperlink ref="A1" location="Índice!A1" display="Voltar" xr:uid="{EE572D14-BA2B-4A73-ACF1-B44509A039D8}"/>
  </hyperlinks>
  <pageMargins left="0.7" right="0.7" top="0.75" bottom="0.75" header="0.3" footer="0.3"/>
  <pageSetup paperSize="9" scale="6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A699-1DEC-45CD-9933-3DBCC5D1572E}">
  <sheetPr>
    <tabColor theme="5" tint="-0.499984740745262"/>
    <pageSetUpPr fitToPage="1"/>
  </sheetPr>
  <dimension ref="A1:AC196"/>
  <sheetViews>
    <sheetView showGridLines="0" zoomScale="90" zoomScaleNormal="90" workbookViewId="0">
      <pane xSplit="1" ySplit="5" topLeftCell="S148" activePane="bottomRight" state="frozen"/>
      <selection activeCell="MH77" sqref="MH77"/>
      <selection pane="topRight" activeCell="MH77" sqref="MH77"/>
      <selection pane="bottomLeft" activeCell="MH77" sqref="MH77"/>
      <selection pane="bottomRight" activeCell="B155" sqref="B155"/>
    </sheetView>
  </sheetViews>
  <sheetFormatPr defaultColWidth="10.7109375" defaultRowHeight="15.75"/>
  <cols>
    <col min="1" max="1" width="84.42578125" style="114" customWidth="1"/>
    <col min="2" max="16" width="12.85546875" style="110" bestFit="1" customWidth="1"/>
    <col min="17" max="25" width="13.85546875" style="110" bestFit="1" customWidth="1"/>
    <col min="26" max="29" width="14.85546875" style="110" bestFit="1" customWidth="1"/>
    <col min="30" max="16384" width="10.7109375" style="110"/>
  </cols>
  <sheetData>
    <row r="1" spans="1:29" ht="15">
      <c r="A1" s="108" t="s">
        <v>374</v>
      </c>
      <c r="S1" s="165"/>
      <c r="T1" s="165"/>
      <c r="U1" s="165"/>
      <c r="V1" s="165"/>
      <c r="W1" s="165"/>
      <c r="X1" s="165"/>
      <c r="Y1" s="165"/>
      <c r="Z1" s="165"/>
      <c r="AA1" s="165"/>
    </row>
    <row r="2" spans="1:29" s="113" customFormat="1" ht="20.100000000000001" customHeight="1">
      <c r="A2" s="111" t="s">
        <v>562</v>
      </c>
      <c r="V2" s="166"/>
      <c r="W2" s="166"/>
      <c r="X2" s="166"/>
      <c r="Y2" s="166"/>
      <c r="Z2" s="166"/>
      <c r="AA2" s="166"/>
    </row>
    <row r="3" spans="1:29" s="113" customFormat="1" ht="20.100000000000001" customHeight="1">
      <c r="A3" s="111" t="s">
        <v>563</v>
      </c>
    </row>
    <row r="4" spans="1:29" ht="20.100000000000001" customHeight="1" thickBot="1">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row>
    <row r="5" spans="1:29" ht="20.100000000000001" customHeight="1" thickBot="1">
      <c r="A5" s="116" t="s">
        <v>288</v>
      </c>
      <c r="B5" s="117">
        <v>1997</v>
      </c>
      <c r="C5" s="117">
        <v>1998</v>
      </c>
      <c r="D5" s="117">
        <v>1999</v>
      </c>
      <c r="E5" s="117">
        <v>2000</v>
      </c>
      <c r="F5" s="117">
        <v>2001</v>
      </c>
      <c r="G5" s="117">
        <v>2002</v>
      </c>
      <c r="H5" s="117">
        <v>2003</v>
      </c>
      <c r="I5" s="117">
        <v>2004</v>
      </c>
      <c r="J5" s="117">
        <v>2005</v>
      </c>
      <c r="K5" s="117">
        <v>2006</v>
      </c>
      <c r="L5" s="117">
        <v>2007</v>
      </c>
      <c r="M5" s="117">
        <v>2008</v>
      </c>
      <c r="N5" s="117">
        <v>2009</v>
      </c>
      <c r="O5" s="117">
        <v>2010</v>
      </c>
      <c r="P5" s="117">
        <v>2011</v>
      </c>
      <c r="Q5" s="117">
        <v>2012</v>
      </c>
      <c r="R5" s="117">
        <v>2013</v>
      </c>
      <c r="S5" s="117">
        <v>2014</v>
      </c>
      <c r="T5" s="117">
        <v>2015</v>
      </c>
      <c r="U5" s="117">
        <v>2016</v>
      </c>
      <c r="V5" s="117">
        <v>2017</v>
      </c>
      <c r="W5" s="117">
        <v>2018</v>
      </c>
      <c r="X5" s="117">
        <v>2019</v>
      </c>
      <c r="Y5" s="117">
        <v>2020</v>
      </c>
      <c r="Z5" s="117">
        <v>2021</v>
      </c>
      <c r="AA5" s="117">
        <v>2022</v>
      </c>
      <c r="AB5" s="117">
        <v>2023</v>
      </c>
      <c r="AC5" s="117">
        <v>2024</v>
      </c>
    </row>
    <row r="6" spans="1:29" s="113" customFormat="1" ht="20.100000000000001" customHeight="1" thickBot="1">
      <c r="A6" s="118" t="s">
        <v>376</v>
      </c>
      <c r="B6" s="168">
        <v>159012.37514721998</v>
      </c>
      <c r="C6" s="168">
        <v>183516.20421783399</v>
      </c>
      <c r="D6" s="168">
        <v>209383.53077113011</v>
      </c>
      <c r="E6" s="168">
        <v>235051.9264603559</v>
      </c>
      <c r="F6" s="168">
        <v>270441.18113834597</v>
      </c>
      <c r="G6" s="168">
        <v>320056.45485952095</v>
      </c>
      <c r="H6" s="168">
        <v>356131.53487670014</v>
      </c>
      <c r="I6" s="168">
        <v>418993.28915699339</v>
      </c>
      <c r="J6" s="168">
        <v>487822.08090402954</v>
      </c>
      <c r="K6" s="168">
        <v>542810.00541032897</v>
      </c>
      <c r="L6" s="168">
        <v>618352.10846039292</v>
      </c>
      <c r="M6" s="168">
        <v>715615.89529064007</v>
      </c>
      <c r="N6" s="168">
        <v>738124.94594997982</v>
      </c>
      <c r="O6" s="168">
        <v>918531.36949622864</v>
      </c>
      <c r="P6" s="168">
        <v>988270.07665692002</v>
      </c>
      <c r="Q6" s="168">
        <v>1072289.4194307346</v>
      </c>
      <c r="R6" s="168">
        <v>1178983.23858507</v>
      </c>
      <c r="S6" s="168">
        <v>1221474.1323409199</v>
      </c>
      <c r="T6" s="168">
        <v>1249103.6862140601</v>
      </c>
      <c r="U6" s="168">
        <v>1315985.2686316364</v>
      </c>
      <c r="V6" s="168">
        <v>1383653.146881649</v>
      </c>
      <c r="W6" s="168">
        <v>1488999.2062827144</v>
      </c>
      <c r="X6" s="168">
        <v>1635607.8622300299</v>
      </c>
      <c r="Y6" s="168">
        <v>1468096.1372304999</v>
      </c>
      <c r="Z6" s="168">
        <v>1932649.6796227393</v>
      </c>
      <c r="AA6" s="168">
        <v>2313305.42584203</v>
      </c>
      <c r="AB6" s="168">
        <v>2353432.2430285001</v>
      </c>
      <c r="AC6" s="168">
        <v>2679441.60626551</v>
      </c>
    </row>
    <row r="7" spans="1:29" s="122" customFormat="1" ht="16.5" customHeight="1">
      <c r="A7" s="120" t="s">
        <v>377</v>
      </c>
      <c r="B7" s="169">
        <v>101710.99134000001</v>
      </c>
      <c r="C7" s="169">
        <v>111752.412363</v>
      </c>
      <c r="D7" s="169">
        <v>134315.24228339997</v>
      </c>
      <c r="E7" s="169">
        <v>156187.72334500001</v>
      </c>
      <c r="F7" s="169">
        <v>179218.17344314948</v>
      </c>
      <c r="G7" s="169">
        <v>219900.79490799998</v>
      </c>
      <c r="H7" s="169">
        <v>242869.35892299996</v>
      </c>
      <c r="I7" s="169">
        <v>286807.66722300003</v>
      </c>
      <c r="J7" s="169">
        <v>333069.63118063996</v>
      </c>
      <c r="K7" s="169">
        <v>359189.16918996006</v>
      </c>
      <c r="L7" s="169">
        <v>417509.43861414999</v>
      </c>
      <c r="M7" s="169">
        <v>466337.04441949003</v>
      </c>
      <c r="N7" s="169">
        <v>456139.33125902992</v>
      </c>
      <c r="O7" s="169">
        <v>531205.99159600004</v>
      </c>
      <c r="P7" s="169">
        <v>628894.93289578997</v>
      </c>
      <c r="Q7" s="169">
        <v>647535.05609336996</v>
      </c>
      <c r="R7" s="169">
        <v>720193.36768919998</v>
      </c>
      <c r="S7" s="169">
        <v>739178.00485036022</v>
      </c>
      <c r="T7" s="169">
        <v>765137.17981457012</v>
      </c>
      <c r="U7" s="169">
        <v>819751.85484766006</v>
      </c>
      <c r="V7" s="169">
        <v>835563.53550946002</v>
      </c>
      <c r="W7" s="169">
        <v>905052.42457350995</v>
      </c>
      <c r="X7" s="169">
        <v>946082.86379665986</v>
      </c>
      <c r="Y7" s="169">
        <v>899522.50790374994</v>
      </c>
      <c r="Z7" s="169">
        <v>1195712.3013091399</v>
      </c>
      <c r="AA7" s="169">
        <v>1390000.44825626</v>
      </c>
      <c r="AB7" s="169">
        <v>1439302.59864158</v>
      </c>
      <c r="AC7" s="169">
        <v>1690020.4045533903</v>
      </c>
    </row>
    <row r="8" spans="1:29" ht="16.5" customHeight="1">
      <c r="A8" s="123" t="s">
        <v>378</v>
      </c>
      <c r="B8" s="170">
        <v>5135.2562589999998</v>
      </c>
      <c r="C8" s="170">
        <v>6530.9528769999997</v>
      </c>
      <c r="D8" s="170">
        <v>7861.0488041400004</v>
      </c>
      <c r="E8" s="170">
        <v>8497.9762050000008</v>
      </c>
      <c r="F8" s="170">
        <v>9079.0287620000017</v>
      </c>
      <c r="G8" s="170">
        <v>7956.5665140000001</v>
      </c>
      <c r="H8" s="170">
        <v>8134.7496510000001</v>
      </c>
      <c r="I8" s="170">
        <v>9195.2229599999991</v>
      </c>
      <c r="J8" s="170">
        <v>9019.9463780699989</v>
      </c>
      <c r="K8" s="170">
        <v>9978.3167429799996</v>
      </c>
      <c r="L8" s="170">
        <v>12216.324714800001</v>
      </c>
      <c r="M8" s="170">
        <v>17171.274252290001</v>
      </c>
      <c r="N8" s="170">
        <v>15967.9047799</v>
      </c>
      <c r="O8" s="170">
        <v>21093.346540999999</v>
      </c>
      <c r="P8" s="170">
        <v>26680.65729114</v>
      </c>
      <c r="Q8" s="170">
        <v>31067.553560219996</v>
      </c>
      <c r="R8" s="170">
        <v>37138.714750600004</v>
      </c>
      <c r="S8" s="170">
        <v>36563.276960149997</v>
      </c>
      <c r="T8" s="170">
        <v>38942.280035809999</v>
      </c>
      <c r="U8" s="170">
        <v>31390.477725079996</v>
      </c>
      <c r="V8" s="170">
        <v>32426.4895769</v>
      </c>
      <c r="W8" s="170">
        <v>40678.352794209997</v>
      </c>
      <c r="X8" s="170">
        <v>43035.296534039997</v>
      </c>
      <c r="Y8" s="170">
        <v>45743.696486999994</v>
      </c>
      <c r="Z8" s="170">
        <v>61970.274861629994</v>
      </c>
      <c r="AA8" s="170">
        <v>59078.702113290004</v>
      </c>
      <c r="AB8" s="170">
        <v>54221.9966958</v>
      </c>
      <c r="AC8" s="170">
        <v>77749.320546840012</v>
      </c>
    </row>
    <row r="9" spans="1:29" ht="16.5" customHeight="1">
      <c r="A9" s="123" t="s">
        <v>379</v>
      </c>
      <c r="B9" s="170">
        <v>16552.739062000001</v>
      </c>
      <c r="C9" s="170">
        <v>15824.030666000001</v>
      </c>
      <c r="D9" s="170">
        <v>16084.6880461</v>
      </c>
      <c r="E9" s="170">
        <v>17700.491536999998</v>
      </c>
      <c r="F9" s="170">
        <v>18939.45091</v>
      </c>
      <c r="G9" s="170">
        <v>18622.865378999999</v>
      </c>
      <c r="H9" s="170">
        <v>17874.787780999999</v>
      </c>
      <c r="I9" s="170">
        <v>21294.335070000001</v>
      </c>
      <c r="J9" s="170">
        <v>24451.572427520001</v>
      </c>
      <c r="K9" s="170">
        <v>27385.116525669997</v>
      </c>
      <c r="L9" s="170">
        <v>31875.67389319</v>
      </c>
      <c r="M9" s="170">
        <v>37361.124164860012</v>
      </c>
      <c r="N9" s="170">
        <v>28086.368623339997</v>
      </c>
      <c r="O9" s="170">
        <v>37553.815401999993</v>
      </c>
      <c r="P9" s="170">
        <v>41471.406301580006</v>
      </c>
      <c r="Q9" s="170">
        <v>44480.205970170005</v>
      </c>
      <c r="R9" s="170">
        <v>44077.374234770003</v>
      </c>
      <c r="S9" s="170">
        <v>50146.207356390005</v>
      </c>
      <c r="T9" s="170">
        <v>48586.32245439</v>
      </c>
      <c r="U9" s="170">
        <v>42293.988477929997</v>
      </c>
      <c r="V9" s="170">
        <v>48032.503075790002</v>
      </c>
      <c r="W9" s="170">
        <v>55427.3229957</v>
      </c>
      <c r="X9" s="170">
        <v>52685.947494630018</v>
      </c>
      <c r="Y9" s="170">
        <v>56694.553645289998</v>
      </c>
      <c r="Z9" s="170">
        <v>71286.107054689986</v>
      </c>
      <c r="AA9" s="170">
        <v>59893.538372950003</v>
      </c>
      <c r="AB9" s="170">
        <v>59326.696669289995</v>
      </c>
      <c r="AC9" s="170">
        <v>84373.242932719993</v>
      </c>
    </row>
    <row r="10" spans="1:29" ht="16.5" customHeight="1">
      <c r="A10" s="125" t="s">
        <v>380</v>
      </c>
      <c r="B10" s="170">
        <v>2839.2624061999995</v>
      </c>
      <c r="C10" s="170">
        <v>2535.2212004999997</v>
      </c>
      <c r="D10" s="170">
        <v>2280.4184088300008</v>
      </c>
      <c r="E10" s="170">
        <v>1997.8234370000002</v>
      </c>
      <c r="F10" s="170">
        <v>2006.8023550000003</v>
      </c>
      <c r="G10" s="170">
        <v>1923.3733549999999</v>
      </c>
      <c r="H10" s="170">
        <v>1993.5337340000001</v>
      </c>
      <c r="I10" s="170">
        <v>2304.2954999999997</v>
      </c>
      <c r="J10" s="170">
        <v>2302.7719419999999</v>
      </c>
      <c r="K10" s="170">
        <v>2396.3533600200003</v>
      </c>
      <c r="L10" s="170">
        <v>2803.3677859200002</v>
      </c>
      <c r="M10" s="170">
        <v>3211.3739842199998</v>
      </c>
      <c r="N10" s="170">
        <v>3314.07056642</v>
      </c>
      <c r="O10" s="170">
        <v>3705.4269260000001</v>
      </c>
      <c r="P10" s="170">
        <v>3745.7164419999999</v>
      </c>
      <c r="Q10" s="170">
        <v>4079.2769221000003</v>
      </c>
      <c r="R10" s="170">
        <v>5098.5040274800003</v>
      </c>
      <c r="S10" s="170">
        <v>5654.1404706800004</v>
      </c>
      <c r="T10" s="170">
        <v>5681.6727284099998</v>
      </c>
      <c r="U10" s="170">
        <v>5718.4537818600002</v>
      </c>
      <c r="V10" s="170">
        <v>5209.7981624700005</v>
      </c>
      <c r="W10" s="170">
        <v>5207.86093497</v>
      </c>
      <c r="X10" s="170">
        <v>5558.939451029999</v>
      </c>
      <c r="Y10" s="170">
        <v>5974.9634879700006</v>
      </c>
      <c r="Z10" s="170">
        <v>5576.6730416900009</v>
      </c>
      <c r="AA10" s="170">
        <v>6732.0412917600006</v>
      </c>
      <c r="AB10" s="170">
        <v>3824.4612462500004</v>
      </c>
      <c r="AC10" s="170">
        <v>8160.5302689299988</v>
      </c>
    </row>
    <row r="11" spans="1:29" ht="16.5" customHeight="1">
      <c r="A11" s="125" t="s">
        <v>381</v>
      </c>
      <c r="B11" s="170">
        <v>0</v>
      </c>
      <c r="C11" s="170">
        <v>0</v>
      </c>
      <c r="D11" s="170">
        <v>0</v>
      </c>
      <c r="E11" s="170">
        <v>1941.9829710000004</v>
      </c>
      <c r="F11" s="170">
        <v>2001.5398959999998</v>
      </c>
      <c r="G11" s="170">
        <v>1795.3801649999998</v>
      </c>
      <c r="H11" s="170">
        <v>1899.5308229999998</v>
      </c>
      <c r="I11" s="170">
        <v>1998.8210860000002</v>
      </c>
      <c r="J11" s="170">
        <v>2357.5863869999998</v>
      </c>
      <c r="K11" s="170">
        <v>2626.4922755500002</v>
      </c>
      <c r="L11" s="170">
        <v>2588.8312324500002</v>
      </c>
      <c r="M11" s="170">
        <v>2489.3108201700002</v>
      </c>
      <c r="N11" s="170">
        <v>2303.9951859400003</v>
      </c>
      <c r="O11" s="170">
        <v>2430.0708129999998</v>
      </c>
      <c r="P11" s="170">
        <v>2990.7065889999999</v>
      </c>
      <c r="Q11" s="170">
        <v>3216.6361343999993</v>
      </c>
      <c r="R11" s="170">
        <v>3438.0504197400005</v>
      </c>
      <c r="S11" s="170">
        <v>3380.1101592799996</v>
      </c>
      <c r="T11" s="170">
        <v>2594.3688342099995</v>
      </c>
      <c r="U11" s="170">
        <v>2683.89765992</v>
      </c>
      <c r="V11" s="170">
        <v>2943.8483909100005</v>
      </c>
      <c r="W11" s="170">
        <v>2767.6273855300001</v>
      </c>
      <c r="X11" s="170">
        <v>3640.94744924</v>
      </c>
      <c r="Y11" s="170">
        <v>2985.1599256599998</v>
      </c>
      <c r="Z11" s="170">
        <v>2687.4198809799996</v>
      </c>
      <c r="AA11" s="170">
        <v>2513.2079107</v>
      </c>
      <c r="AB11" s="170">
        <v>2954.0450395900002</v>
      </c>
      <c r="AC11" s="170">
        <v>3341.08421967</v>
      </c>
    </row>
    <row r="12" spans="1:29" ht="16.5" customHeight="1">
      <c r="A12" s="125" t="s">
        <v>382</v>
      </c>
      <c r="B12" s="170">
        <v>0</v>
      </c>
      <c r="C12" s="170">
        <v>0</v>
      </c>
      <c r="D12" s="170">
        <v>0</v>
      </c>
      <c r="E12" s="170">
        <v>2374.8062010000003</v>
      </c>
      <c r="F12" s="170">
        <v>2594.6402379999995</v>
      </c>
      <c r="G12" s="170">
        <v>2663.93237</v>
      </c>
      <c r="H12" s="170">
        <v>2313.5747550000001</v>
      </c>
      <c r="I12" s="170">
        <v>2964.0656130000002</v>
      </c>
      <c r="J12" s="170">
        <v>3741.3046089999998</v>
      </c>
      <c r="K12" s="170">
        <v>4303.9965432199997</v>
      </c>
      <c r="L12" s="170">
        <v>5228.54400756</v>
      </c>
      <c r="M12" s="170">
        <v>6031.5478449299999</v>
      </c>
      <c r="N12" s="170">
        <v>2097.2710191499996</v>
      </c>
      <c r="O12" s="170">
        <v>5786.3435439999994</v>
      </c>
      <c r="P12" s="170">
        <v>7146.7862309999991</v>
      </c>
      <c r="Q12" s="170">
        <v>4379.9062976499999</v>
      </c>
      <c r="R12" s="170">
        <v>3776.7954432799997</v>
      </c>
      <c r="S12" s="170">
        <v>4910.7270009699996</v>
      </c>
      <c r="T12" s="170">
        <v>4358.524007080001</v>
      </c>
      <c r="U12" s="170">
        <v>3298.6588972</v>
      </c>
      <c r="V12" s="170">
        <v>4466.9054180100002</v>
      </c>
      <c r="W12" s="170">
        <v>5713.3330343999996</v>
      </c>
      <c r="X12" s="170">
        <v>5639.3938890999998</v>
      </c>
      <c r="Y12" s="170">
        <v>3446.1674336400001</v>
      </c>
      <c r="Z12" s="170">
        <v>3446.6947837899997</v>
      </c>
      <c r="AA12" s="170">
        <v>4048.1887598499998</v>
      </c>
      <c r="AB12" s="170">
        <v>6918.3596782499999</v>
      </c>
      <c r="AC12" s="170">
        <v>8623.1572163300007</v>
      </c>
    </row>
    <row r="13" spans="1:29" ht="16.5" customHeight="1">
      <c r="A13" s="125" t="s">
        <v>383</v>
      </c>
      <c r="B13" s="170">
        <v>0</v>
      </c>
      <c r="C13" s="170">
        <v>0</v>
      </c>
      <c r="D13" s="170">
        <v>0</v>
      </c>
      <c r="E13" s="170">
        <v>4839.7277369999993</v>
      </c>
      <c r="F13" s="170">
        <v>4752.4374040000002</v>
      </c>
      <c r="G13" s="170">
        <v>4883.2021510000004</v>
      </c>
      <c r="H13" s="170">
        <v>4562.4428120000002</v>
      </c>
      <c r="I13" s="170">
        <v>5174.4588110000004</v>
      </c>
      <c r="J13" s="170">
        <v>5278.02480509</v>
      </c>
      <c r="K13" s="170">
        <v>6150.2823744400002</v>
      </c>
      <c r="L13" s="170">
        <v>7692.363964459998</v>
      </c>
      <c r="M13" s="170">
        <v>10351.066533840003</v>
      </c>
      <c r="N13" s="170">
        <v>8384.3313344399994</v>
      </c>
      <c r="O13" s="170">
        <v>11258.886941000001</v>
      </c>
      <c r="P13" s="170">
        <v>13716.597709</v>
      </c>
      <c r="Q13" s="170">
        <v>15929.680857119998</v>
      </c>
      <c r="R13" s="170">
        <v>14624.07725192</v>
      </c>
      <c r="S13" s="170">
        <v>15079.092932199999</v>
      </c>
      <c r="T13" s="170">
        <v>16802.393886220001</v>
      </c>
      <c r="U13" s="170">
        <v>13451.633804359999</v>
      </c>
      <c r="V13" s="170">
        <v>13996.586900890001</v>
      </c>
      <c r="W13" s="170">
        <v>18000.707499249998</v>
      </c>
      <c r="X13" s="170">
        <v>19110.255033139998</v>
      </c>
      <c r="Y13" s="170">
        <v>21941.957429909999</v>
      </c>
      <c r="Z13" s="170">
        <v>31693.28280778</v>
      </c>
      <c r="AA13" s="170">
        <v>24521.241590769998</v>
      </c>
      <c r="AB13" s="170">
        <v>22608.432675299999</v>
      </c>
      <c r="AC13" s="170">
        <v>29621.1670744</v>
      </c>
    </row>
    <row r="14" spans="1:29" ht="16.5" customHeight="1">
      <c r="A14" s="125" t="s">
        <v>384</v>
      </c>
      <c r="B14" s="170">
        <v>13713.476655799999</v>
      </c>
      <c r="C14" s="170">
        <v>13288.8094655</v>
      </c>
      <c r="D14" s="170">
        <v>13804.269637270001</v>
      </c>
      <c r="E14" s="170">
        <v>6546.151190999999</v>
      </c>
      <c r="F14" s="170">
        <v>7584.0310170000002</v>
      </c>
      <c r="G14" s="170">
        <v>7356.9773379999997</v>
      </c>
      <c r="H14" s="170">
        <v>7105.7056569999986</v>
      </c>
      <c r="I14" s="170">
        <v>8852.6940600000016</v>
      </c>
      <c r="J14" s="170">
        <v>10771.884684429999</v>
      </c>
      <c r="K14" s="170">
        <v>11907.991972439999</v>
      </c>
      <c r="L14" s="170">
        <v>13562.566902799999</v>
      </c>
      <c r="M14" s="170">
        <v>15277.824981699998</v>
      </c>
      <c r="N14" s="170">
        <v>11986.70051739</v>
      </c>
      <c r="O14" s="170">
        <v>14373.087178</v>
      </c>
      <c r="P14" s="170">
        <v>13871.59933058</v>
      </c>
      <c r="Q14" s="170">
        <v>16874.7057589</v>
      </c>
      <c r="R14" s="170">
        <v>17139.947092350005</v>
      </c>
      <c r="S14" s="170">
        <v>21122.136793260001</v>
      </c>
      <c r="T14" s="170">
        <v>19149.362998470002</v>
      </c>
      <c r="U14" s="170">
        <v>17141.344334590001</v>
      </c>
      <c r="V14" s="170">
        <v>21415.364203510002</v>
      </c>
      <c r="W14" s="170">
        <v>23737.794141549999</v>
      </c>
      <c r="X14" s="170">
        <v>18736.411672120001</v>
      </c>
      <c r="Y14" s="170">
        <v>22346.305368109999</v>
      </c>
      <c r="Z14" s="170">
        <v>27882.036540449993</v>
      </c>
      <c r="AA14" s="170">
        <v>22078.858819870002</v>
      </c>
      <c r="AB14" s="170">
        <v>23021.398029899996</v>
      </c>
      <c r="AC14" s="170">
        <v>34627.304153390003</v>
      </c>
    </row>
    <row r="15" spans="1:29" s="122" customFormat="1" ht="16.5" customHeight="1">
      <c r="A15" s="126" t="s">
        <v>385</v>
      </c>
      <c r="B15" s="170">
        <v>34020.003967000004</v>
      </c>
      <c r="C15" s="170">
        <v>42911.457160999998</v>
      </c>
      <c r="D15" s="170">
        <v>47490.551729080005</v>
      </c>
      <c r="E15" s="170">
        <v>51242.621815999999</v>
      </c>
      <c r="F15" s="170">
        <v>60046.640850000011</v>
      </c>
      <c r="G15" s="170">
        <v>78973.162478000013</v>
      </c>
      <c r="H15" s="170">
        <v>83624.516107999982</v>
      </c>
      <c r="I15" s="170">
        <v>92112.659106999999</v>
      </c>
      <c r="J15" s="170">
        <v>115285.58289877001</v>
      </c>
      <c r="K15" s="170">
        <v>125835.02292859001</v>
      </c>
      <c r="L15" s="170">
        <v>148013.74913099001</v>
      </c>
      <c r="M15" s="170">
        <v>179249.42554529</v>
      </c>
      <c r="N15" s="170">
        <v>178795.78526941</v>
      </c>
      <c r="O15" s="170">
        <v>194672.40508899998</v>
      </c>
      <c r="P15" s="170">
        <v>235799.81205564001</v>
      </c>
      <c r="Q15" s="170">
        <v>246653.32404043004</v>
      </c>
      <c r="R15" s="170">
        <v>272592.30247160001</v>
      </c>
      <c r="S15" s="170">
        <v>285684.33506535005</v>
      </c>
      <c r="T15" s="170">
        <v>300442.45732922002</v>
      </c>
      <c r="U15" s="170">
        <v>341115.24763857003</v>
      </c>
      <c r="V15" s="170">
        <v>339840.91056232003</v>
      </c>
      <c r="W15" s="170">
        <v>362757.26654574997</v>
      </c>
      <c r="X15" s="170">
        <v>398366.45974941994</v>
      </c>
      <c r="Y15" s="170">
        <v>384124.92612418998</v>
      </c>
      <c r="Z15" s="170">
        <v>518525.12334446999</v>
      </c>
      <c r="AA15" s="170">
        <v>667222.54046685982</v>
      </c>
      <c r="AB15" s="170">
        <v>695762.50170422997</v>
      </c>
      <c r="AC15" s="170">
        <v>785162.24620657996</v>
      </c>
    </row>
    <row r="16" spans="1:29" ht="16.5" customHeight="1">
      <c r="A16" s="125" t="s">
        <v>386</v>
      </c>
      <c r="B16" s="170">
        <v>2667.0555094000001</v>
      </c>
      <c r="C16" s="170">
        <v>2844.2185007199996</v>
      </c>
      <c r="D16" s="170">
        <v>3039.1824079600005</v>
      </c>
      <c r="E16" s="170">
        <v>3615.1020000000008</v>
      </c>
      <c r="F16" s="170">
        <v>4019.7533359999998</v>
      </c>
      <c r="G16" s="170">
        <v>4430.3252650000004</v>
      </c>
      <c r="H16" s="170">
        <v>5078.9723570000006</v>
      </c>
      <c r="I16" s="170">
        <v>6106.1162919999997</v>
      </c>
      <c r="J16" s="170">
        <v>7304.1661924799992</v>
      </c>
      <c r="K16" s="170">
        <v>8558.5881222000007</v>
      </c>
      <c r="L16" s="170">
        <v>13710.112287760003</v>
      </c>
      <c r="M16" s="170">
        <v>15047.689446809998</v>
      </c>
      <c r="N16" s="170">
        <v>14808.252715119999</v>
      </c>
      <c r="O16" s="170">
        <v>17309.448182</v>
      </c>
      <c r="P16" s="170">
        <v>21855.090829640005</v>
      </c>
      <c r="Q16" s="170">
        <v>24145.381070530006</v>
      </c>
      <c r="R16" s="170">
        <v>26298.687832960004</v>
      </c>
      <c r="S16" s="170">
        <v>27708.940591569994</v>
      </c>
      <c r="T16" s="170">
        <v>28195.634374020003</v>
      </c>
      <c r="U16" s="170">
        <v>30495.849777110001</v>
      </c>
      <c r="V16" s="170">
        <v>32859.112692660005</v>
      </c>
      <c r="W16" s="170">
        <v>34988.936180290009</v>
      </c>
      <c r="X16" s="170">
        <v>39843.699850689998</v>
      </c>
      <c r="Y16" s="170">
        <v>41655.640640169993</v>
      </c>
      <c r="Z16" s="170">
        <v>56262.41986193999</v>
      </c>
      <c r="AA16" s="170">
        <v>58188.515404699996</v>
      </c>
      <c r="AB16" s="170">
        <v>58964.42575567001</v>
      </c>
      <c r="AC16" s="170">
        <v>71023.575528729998</v>
      </c>
    </row>
    <row r="17" spans="1:29" ht="16.5" customHeight="1">
      <c r="A17" s="125" t="s">
        <v>387</v>
      </c>
      <c r="B17" s="170">
        <v>12213.437728089999</v>
      </c>
      <c r="C17" s="170">
        <v>11838.116792069999</v>
      </c>
      <c r="D17" s="170">
        <v>12760.410630530001</v>
      </c>
      <c r="E17" s="170">
        <v>17511.298885000004</v>
      </c>
      <c r="F17" s="170">
        <v>16842.886236999999</v>
      </c>
      <c r="G17" s="170">
        <v>33341.04688899999</v>
      </c>
      <c r="H17" s="170">
        <v>31584.584742999999</v>
      </c>
      <c r="I17" s="170">
        <v>36144.180523000003</v>
      </c>
      <c r="J17" s="170">
        <v>48964.976510629996</v>
      </c>
      <c r="K17" s="170">
        <v>53965.86370948</v>
      </c>
      <c r="L17" s="170">
        <v>67797.984002559999</v>
      </c>
      <c r="M17" s="170">
        <v>81414.288843909992</v>
      </c>
      <c r="N17" s="170">
        <v>81084.152568810008</v>
      </c>
      <c r="O17" s="170">
        <v>84874.314046000029</v>
      </c>
      <c r="P17" s="170">
        <v>98706.499095269974</v>
      </c>
      <c r="Q17" s="170">
        <v>101104.32182590001</v>
      </c>
      <c r="R17" s="170">
        <v>114143.60963950997</v>
      </c>
      <c r="S17" s="170">
        <v>112708.99933389001</v>
      </c>
      <c r="T17" s="170">
        <v>107605.08721796999</v>
      </c>
      <c r="U17" s="170">
        <v>133954.95882304004</v>
      </c>
      <c r="V17" s="170">
        <v>118000.44175415003</v>
      </c>
      <c r="W17" s="170">
        <v>124194.11478871002</v>
      </c>
      <c r="X17" s="170">
        <v>131462.43042083998</v>
      </c>
      <c r="Y17" s="170">
        <v>126635.38666492997</v>
      </c>
      <c r="Z17" s="170">
        <v>214466.78745233006</v>
      </c>
      <c r="AA17" s="170">
        <v>286330.20464304992</v>
      </c>
      <c r="AB17" s="170">
        <v>261802.26303409997</v>
      </c>
      <c r="AC17" s="170">
        <v>280437.58793703001</v>
      </c>
    </row>
    <row r="18" spans="1:29" s="122" customFormat="1" ht="16.5" customHeight="1">
      <c r="A18" s="125" t="s">
        <v>388</v>
      </c>
      <c r="B18" s="170">
        <v>19139.510729509995</v>
      </c>
      <c r="C18" s="170">
        <v>28229.121868209997</v>
      </c>
      <c r="D18" s="170">
        <v>31690.958690589996</v>
      </c>
      <c r="E18" s="170">
        <v>30116.220930999996</v>
      </c>
      <c r="F18" s="170">
        <v>39184.001277000003</v>
      </c>
      <c r="G18" s="170">
        <v>41201.790324000001</v>
      </c>
      <c r="H18" s="170">
        <v>46960.959008000005</v>
      </c>
      <c r="I18" s="170">
        <v>49862.362292000005</v>
      </c>
      <c r="J18" s="170">
        <v>59016.440195660005</v>
      </c>
      <c r="K18" s="170">
        <v>63310.571096910004</v>
      </c>
      <c r="L18" s="170">
        <v>66505.652840670009</v>
      </c>
      <c r="M18" s="170">
        <v>82787.447254569997</v>
      </c>
      <c r="N18" s="170">
        <v>82903.379985479987</v>
      </c>
      <c r="O18" s="170">
        <v>92488.642861</v>
      </c>
      <c r="P18" s="170">
        <v>115238.22213072999</v>
      </c>
      <c r="Q18" s="170">
        <v>121403.621144</v>
      </c>
      <c r="R18" s="170">
        <v>132150.00499913</v>
      </c>
      <c r="S18" s="170">
        <v>145266.39513989</v>
      </c>
      <c r="T18" s="170">
        <v>164641.73573723002</v>
      </c>
      <c r="U18" s="170">
        <v>176664.43903842001</v>
      </c>
      <c r="V18" s="170">
        <v>188981.35611550996</v>
      </c>
      <c r="W18" s="170">
        <v>203574.21557674999</v>
      </c>
      <c r="X18" s="170">
        <v>227060.32947788999</v>
      </c>
      <c r="Y18" s="170">
        <v>215833.89881909001</v>
      </c>
      <c r="Z18" s="170">
        <v>247795.91603020002</v>
      </c>
      <c r="AA18" s="170">
        <v>322703.82041911001</v>
      </c>
      <c r="AB18" s="170">
        <v>374995.81291446002</v>
      </c>
      <c r="AC18" s="170">
        <v>433701.08274081995</v>
      </c>
    </row>
    <row r="19" spans="1:29" s="122" customFormat="1" ht="16.5" customHeight="1">
      <c r="A19" s="127" t="s">
        <v>389</v>
      </c>
      <c r="B19" s="170">
        <v>10105.37081</v>
      </c>
      <c r="C19" s="170">
        <v>11879.117515999998</v>
      </c>
      <c r="D19" s="170">
        <v>11451.938072779998</v>
      </c>
      <c r="E19" s="170">
        <v>13817.4174</v>
      </c>
      <c r="F19" s="170">
        <v>16924.356038999998</v>
      </c>
      <c r="G19" s="170">
        <v>16413.730359000001</v>
      </c>
      <c r="H19" s="170">
        <v>19622.902276999997</v>
      </c>
      <c r="I19" s="170">
        <v>23684.779230999997</v>
      </c>
      <c r="J19" s="170">
        <v>28736.411149999996</v>
      </c>
      <c r="K19" s="170">
        <v>29902.24263805</v>
      </c>
      <c r="L19" s="170">
        <v>32071.985981460006</v>
      </c>
      <c r="M19" s="170">
        <v>41345.878820289996</v>
      </c>
      <c r="N19" s="170">
        <v>42074.016618569993</v>
      </c>
      <c r="O19" s="170">
        <v>49144.426899000006</v>
      </c>
      <c r="P19" s="170">
        <v>58400.376387999997</v>
      </c>
      <c r="Q19" s="170">
        <v>63933.979728629994</v>
      </c>
      <c r="R19" s="170">
        <v>66881.969733460006</v>
      </c>
      <c r="S19" s="170">
        <v>73934.248562519992</v>
      </c>
      <c r="T19" s="170">
        <v>75712.984249779998</v>
      </c>
      <c r="U19" s="170">
        <v>82165.791371650004</v>
      </c>
      <c r="V19" s="170">
        <v>91045.154897069995</v>
      </c>
      <c r="W19" s="170">
        <v>101613.50192937</v>
      </c>
      <c r="X19" s="170">
        <v>116822.87327513</v>
      </c>
      <c r="Y19" s="170">
        <v>114819.76677792</v>
      </c>
      <c r="Z19" s="170">
        <v>130681.79093581002</v>
      </c>
      <c r="AA19" s="170">
        <v>153160.51423087</v>
      </c>
      <c r="AB19" s="170">
        <v>164752.19563920001</v>
      </c>
      <c r="AC19" s="170">
        <v>184368.41370323004</v>
      </c>
    </row>
    <row r="20" spans="1:29" ht="16.5" customHeight="1">
      <c r="A20" s="127" t="s">
        <v>390</v>
      </c>
      <c r="B20" s="170">
        <v>5009.8452400000006</v>
      </c>
      <c r="C20" s="170">
        <v>11927.482996000001</v>
      </c>
      <c r="D20" s="170">
        <v>13623.401328419997</v>
      </c>
      <c r="E20" s="170">
        <v>10676.971657000002</v>
      </c>
      <c r="F20" s="170">
        <v>15193.088205999999</v>
      </c>
      <c r="G20" s="170">
        <v>16223.95637</v>
      </c>
      <c r="H20" s="170">
        <v>18859.927971000001</v>
      </c>
      <c r="I20" s="170">
        <v>17168.746700999996</v>
      </c>
      <c r="J20" s="170">
        <v>19967.360357999998</v>
      </c>
      <c r="K20" s="170">
        <v>21293.286816419997</v>
      </c>
      <c r="L20" s="170">
        <v>21488.195078249999</v>
      </c>
      <c r="M20" s="170">
        <v>25585.370727739999</v>
      </c>
      <c r="N20" s="170">
        <v>23431.557994399998</v>
      </c>
      <c r="O20" s="170">
        <v>25169.452321000001</v>
      </c>
      <c r="P20" s="170">
        <v>35543.231208000005</v>
      </c>
      <c r="Q20" s="170">
        <v>33853.764101689987</v>
      </c>
      <c r="R20" s="170">
        <v>37035.330692250005</v>
      </c>
      <c r="S20" s="170">
        <v>41210.96562191</v>
      </c>
      <c r="T20" s="170">
        <v>53648.380880849996</v>
      </c>
      <c r="U20" s="170">
        <v>59403.681964659998</v>
      </c>
      <c r="V20" s="170">
        <v>59469.811490070002</v>
      </c>
      <c r="W20" s="170">
        <v>53585.498387109998</v>
      </c>
      <c r="X20" s="170">
        <v>57184.160371309983</v>
      </c>
      <c r="Y20" s="170">
        <v>48346.121954729992</v>
      </c>
      <c r="Z20" s="170">
        <v>55575.662195900004</v>
      </c>
      <c r="AA20" s="170">
        <v>97046.627638880003</v>
      </c>
      <c r="AB20" s="170">
        <v>123815.55136598999</v>
      </c>
      <c r="AC20" s="170">
        <v>147041.58239194</v>
      </c>
    </row>
    <row r="21" spans="1:29" ht="16.5" customHeight="1">
      <c r="A21" s="127" t="s">
        <v>391</v>
      </c>
      <c r="B21" s="170">
        <v>1678.0406249999999</v>
      </c>
      <c r="C21" s="170">
        <v>1941.0385840000001</v>
      </c>
      <c r="D21" s="170">
        <v>3448.0292404099991</v>
      </c>
      <c r="E21" s="170">
        <v>3247.7701219999999</v>
      </c>
      <c r="F21" s="170">
        <v>4503.8743029999996</v>
      </c>
      <c r="G21" s="170">
        <v>5370.5418169999994</v>
      </c>
      <c r="H21" s="170">
        <v>5588.8040289999999</v>
      </c>
      <c r="I21" s="170">
        <v>5562.4790649999995</v>
      </c>
      <c r="J21" s="170">
        <v>6180.6025990000007</v>
      </c>
      <c r="K21" s="170">
        <v>7477.4265145199997</v>
      </c>
      <c r="L21" s="170">
        <v>7908.1451151900001</v>
      </c>
      <c r="M21" s="170">
        <v>9932.4445691000001</v>
      </c>
      <c r="N21" s="170">
        <v>10917.419099789999</v>
      </c>
      <c r="O21" s="170">
        <v>11593.819819</v>
      </c>
      <c r="P21" s="170">
        <v>13926.734392</v>
      </c>
      <c r="Q21" s="170">
        <v>15262.367826450001</v>
      </c>
      <c r="R21" s="170">
        <v>18602.334066039999</v>
      </c>
      <c r="S21" s="170">
        <v>19794.958035259999</v>
      </c>
      <c r="T21" s="170">
        <v>24824.607967409996</v>
      </c>
      <c r="U21" s="170">
        <v>24898.83870498</v>
      </c>
      <c r="V21" s="170">
        <v>27275.080612799997</v>
      </c>
      <c r="W21" s="170">
        <v>35336.708555929996</v>
      </c>
      <c r="X21" s="170">
        <v>39307.154077400002</v>
      </c>
      <c r="Y21" s="170">
        <v>39593.355342980001</v>
      </c>
      <c r="Z21" s="170">
        <v>44428.067182479994</v>
      </c>
      <c r="AA21" s="170">
        <v>55496.597044640002</v>
      </c>
      <c r="AB21" s="170">
        <v>66717.655254759986</v>
      </c>
      <c r="AC21" s="170">
        <v>79910.088198930011</v>
      </c>
    </row>
    <row r="22" spans="1:29" s="128" customFormat="1" ht="16.5" customHeight="1">
      <c r="A22" s="127" t="s">
        <v>392</v>
      </c>
      <c r="B22" s="170">
        <v>2346.2540545099982</v>
      </c>
      <c r="C22" s="170">
        <v>2481.4827722099981</v>
      </c>
      <c r="D22" s="170">
        <v>3167.5900489799997</v>
      </c>
      <c r="E22" s="170">
        <v>2374.0617519999996</v>
      </c>
      <c r="F22" s="170">
        <v>2562.6827290000001</v>
      </c>
      <c r="G22" s="170">
        <v>3193.5617780000002</v>
      </c>
      <c r="H22" s="170">
        <v>2889.3247310000002</v>
      </c>
      <c r="I22" s="170">
        <v>3446.3572950000007</v>
      </c>
      <c r="J22" s="170">
        <v>4132.066088659999</v>
      </c>
      <c r="K22" s="170">
        <v>4637.6151279199985</v>
      </c>
      <c r="L22" s="170">
        <v>5037.3266657700005</v>
      </c>
      <c r="M22" s="170">
        <v>5923.7531374400005</v>
      </c>
      <c r="N22" s="170">
        <v>6480.3862727200012</v>
      </c>
      <c r="O22" s="170">
        <v>6580.9438219999993</v>
      </c>
      <c r="P22" s="170">
        <v>7367.8801427299959</v>
      </c>
      <c r="Q22" s="170">
        <v>8353.5094872299978</v>
      </c>
      <c r="R22" s="170">
        <v>9630.3705073800029</v>
      </c>
      <c r="S22" s="170">
        <v>10326.222920199996</v>
      </c>
      <c r="T22" s="170">
        <v>10455.762639190001</v>
      </c>
      <c r="U22" s="170">
        <v>10196.126997130001</v>
      </c>
      <c r="V22" s="170">
        <v>11191.309115570002</v>
      </c>
      <c r="W22" s="170">
        <v>13038.506704340003</v>
      </c>
      <c r="X22" s="170">
        <v>13746.141754049999</v>
      </c>
      <c r="Y22" s="170">
        <v>13074.654743459998</v>
      </c>
      <c r="Z22" s="170">
        <v>17110.395716010004</v>
      </c>
      <c r="AA22" s="170">
        <v>17000.081504719994</v>
      </c>
      <c r="AB22" s="170">
        <v>19710.41065451</v>
      </c>
      <c r="AC22" s="170">
        <v>22380.998446719997</v>
      </c>
    </row>
    <row r="23" spans="1:29" ht="16.5" customHeight="1">
      <c r="A23" s="126" t="s">
        <v>393</v>
      </c>
      <c r="B23" s="170">
        <v>3784.0268250000004</v>
      </c>
      <c r="C23" s="170">
        <v>3533.8497310000007</v>
      </c>
      <c r="D23" s="170">
        <v>4876.8026382400003</v>
      </c>
      <c r="E23" s="170">
        <v>3125.420329</v>
      </c>
      <c r="F23" s="170">
        <v>3578.0682389999997</v>
      </c>
      <c r="G23" s="170">
        <v>4020.5803809999998</v>
      </c>
      <c r="H23" s="170">
        <v>4449.8608320000003</v>
      </c>
      <c r="I23" s="170">
        <v>5251.9602559999994</v>
      </c>
      <c r="J23" s="170">
        <v>6097.7708705300001</v>
      </c>
      <c r="K23" s="170">
        <v>6793.4278823000013</v>
      </c>
      <c r="L23" s="170">
        <v>7855.0381588100008</v>
      </c>
      <c r="M23" s="170">
        <v>20340.268255699997</v>
      </c>
      <c r="N23" s="170">
        <v>19293.431448470001</v>
      </c>
      <c r="O23" s="170">
        <v>26576.144842000009</v>
      </c>
      <c r="P23" s="170">
        <v>31943.372182610001</v>
      </c>
      <c r="Q23" s="170">
        <v>31023.032419970004</v>
      </c>
      <c r="R23" s="170">
        <v>29642.627471719999</v>
      </c>
      <c r="S23" s="170">
        <v>29892.947839300006</v>
      </c>
      <c r="T23" s="170">
        <v>34869.727500339999</v>
      </c>
      <c r="U23" s="170">
        <v>33782.40685662</v>
      </c>
      <c r="V23" s="170">
        <v>34983.514963420006</v>
      </c>
      <c r="W23" s="170">
        <v>36786.126448429997</v>
      </c>
      <c r="X23" s="170">
        <v>41044.221309829998</v>
      </c>
      <c r="Y23" s="170">
        <v>22047.586264160003</v>
      </c>
      <c r="Z23" s="170">
        <v>49128.42200222001</v>
      </c>
      <c r="AA23" s="170">
        <v>59091.203901559988</v>
      </c>
      <c r="AB23" s="170">
        <v>61902.202824089982</v>
      </c>
      <c r="AC23" s="170">
        <v>67748.469068980005</v>
      </c>
    </row>
    <row r="24" spans="1:29" ht="16.5" customHeight="1">
      <c r="A24" s="126" t="s">
        <v>394</v>
      </c>
      <c r="B24" s="170">
        <v>19112.970208999999</v>
      </c>
      <c r="C24" s="170">
        <v>18697.386003999996</v>
      </c>
      <c r="D24" s="170">
        <v>32069.737737220003</v>
      </c>
      <c r="E24" s="170">
        <v>39823.323042000004</v>
      </c>
      <c r="F24" s="170">
        <v>46118.153737000001</v>
      </c>
      <c r="G24" s="170">
        <v>52067.717844769999</v>
      </c>
      <c r="H24" s="170">
        <v>59405.209371010009</v>
      </c>
      <c r="I24" s="170">
        <v>78789.002682345803</v>
      </c>
      <c r="J24" s="170">
        <v>86581.298603000003</v>
      </c>
      <c r="K24" s="170">
        <v>91481.215766090012</v>
      </c>
      <c r="L24" s="170">
        <v>103195.58434362999</v>
      </c>
      <c r="M24" s="170">
        <v>121923.90935882002</v>
      </c>
      <c r="N24" s="170">
        <v>118957.14958799002</v>
      </c>
      <c r="O24" s="170">
        <v>141232.33053899999</v>
      </c>
      <c r="P24" s="170">
        <v>160988.35704444998</v>
      </c>
      <c r="Q24" s="170">
        <v>175157.78744079999</v>
      </c>
      <c r="R24" s="170">
        <v>202813.18744507001</v>
      </c>
      <c r="S24" s="170">
        <v>198742.40016735002</v>
      </c>
      <c r="T24" s="170">
        <v>202733.67623007999</v>
      </c>
      <c r="U24" s="170">
        <v>204678.62578346001</v>
      </c>
      <c r="V24" s="170">
        <v>235759.38850717002</v>
      </c>
      <c r="W24" s="170">
        <v>251466.02993433006</v>
      </c>
      <c r="X24" s="170">
        <v>238696.07089371994</v>
      </c>
      <c r="Y24" s="170">
        <v>221964.22563193002</v>
      </c>
      <c r="Z24" s="170">
        <v>274580.94718765997</v>
      </c>
      <c r="AA24" s="170">
        <v>276748.01584369998</v>
      </c>
      <c r="AB24" s="170">
        <v>292903.01752975007</v>
      </c>
      <c r="AC24" s="170">
        <v>367241.83518655004</v>
      </c>
    </row>
    <row r="25" spans="1:29" ht="16.5" customHeight="1">
      <c r="A25" s="126" t="s">
        <v>395</v>
      </c>
      <c r="B25" s="170">
        <v>7582.374699</v>
      </c>
      <c r="C25" s="170">
        <v>7482.0244430000002</v>
      </c>
      <c r="D25" s="170">
        <v>9777.4515971599994</v>
      </c>
      <c r="E25" s="170">
        <v>10025.805398</v>
      </c>
      <c r="F25" s="170">
        <v>11328.03297</v>
      </c>
      <c r="G25" s="170">
        <v>12776.849209199998</v>
      </c>
      <c r="H25" s="170">
        <v>17058.057065109999</v>
      </c>
      <c r="I25" s="170">
        <v>19768.136722088926</v>
      </c>
      <c r="J25" s="170">
        <v>21585.364466209998</v>
      </c>
      <c r="K25" s="170">
        <v>24193.284582690001</v>
      </c>
      <c r="L25" s="170">
        <v>26632.426027650003</v>
      </c>
      <c r="M25" s="170">
        <v>31515.76843597</v>
      </c>
      <c r="N25" s="170">
        <v>31723.208363999995</v>
      </c>
      <c r="O25" s="170">
        <v>40794.401496000006</v>
      </c>
      <c r="P25" s="170">
        <v>42102.134497259991</v>
      </c>
      <c r="Q25" s="170">
        <v>46407.434287240001</v>
      </c>
      <c r="R25" s="170">
        <v>52037.99822709</v>
      </c>
      <c r="S25" s="170">
        <v>52543.520067260011</v>
      </c>
      <c r="T25" s="170">
        <v>53548.380772470002</v>
      </c>
      <c r="U25" s="170">
        <v>53894.737931650001</v>
      </c>
      <c r="V25" s="170">
        <v>62560.628576040021</v>
      </c>
      <c r="W25" s="170">
        <v>66124.80591304999</v>
      </c>
      <c r="X25" s="170">
        <v>64751.575401059992</v>
      </c>
      <c r="Y25" s="170">
        <v>62593.69558526999</v>
      </c>
      <c r="Z25" s="170">
        <v>76089.027436959979</v>
      </c>
      <c r="AA25" s="170">
        <v>80008.863774719997</v>
      </c>
      <c r="AB25" s="170">
        <v>84700.656073149978</v>
      </c>
      <c r="AC25" s="170">
        <v>103823.86259622998</v>
      </c>
    </row>
    <row r="26" spans="1:29" ht="16.5" customHeight="1">
      <c r="A26" s="126" t="s">
        <v>396</v>
      </c>
      <c r="B26" s="170">
        <v>7688.8164820000002</v>
      </c>
      <c r="C26" s="170">
        <v>7680.145070999999</v>
      </c>
      <c r="D26" s="170">
        <v>7270.2609369400006</v>
      </c>
      <c r="E26" s="170">
        <v>9242.7479349999994</v>
      </c>
      <c r="F26" s="170">
        <v>9315.4190639999997</v>
      </c>
      <c r="G26" s="170">
        <v>13297.097854000001</v>
      </c>
      <c r="H26" s="170">
        <v>16154.906322999999</v>
      </c>
      <c r="I26" s="170">
        <v>19895.60201507527</v>
      </c>
      <c r="J26" s="170">
        <v>25843.080331249999</v>
      </c>
      <c r="K26" s="170">
        <v>28023.579601920002</v>
      </c>
      <c r="L26" s="170">
        <v>34471.272402549999</v>
      </c>
      <c r="M26" s="170">
        <v>44613.230482539991</v>
      </c>
      <c r="N26" s="170">
        <v>45050.08293117999</v>
      </c>
      <c r="O26" s="170">
        <v>46370.276393999993</v>
      </c>
      <c r="P26" s="170">
        <v>58961.595643740009</v>
      </c>
      <c r="Q26" s="170">
        <v>56541.535373750005</v>
      </c>
      <c r="R26" s="170">
        <v>64250.670251420015</v>
      </c>
      <c r="S26" s="170">
        <v>64808.064477300009</v>
      </c>
      <c r="T26" s="170">
        <v>60418.565659539992</v>
      </c>
      <c r="U26" s="170">
        <v>68143.264846340011</v>
      </c>
      <c r="V26" s="170">
        <v>75650.602940609999</v>
      </c>
      <c r="W26" s="170">
        <v>78549.174948669985</v>
      </c>
      <c r="X26" s="170">
        <v>82018.497674350001</v>
      </c>
      <c r="Y26" s="170">
        <v>79319.342545829975</v>
      </c>
      <c r="Z26" s="170">
        <v>114530.32901558999</v>
      </c>
      <c r="AA26" s="170">
        <v>158497.11212835004</v>
      </c>
      <c r="AB26" s="170">
        <v>148652.09474847003</v>
      </c>
      <c r="AC26" s="170">
        <v>166760.25458755001</v>
      </c>
    </row>
    <row r="27" spans="1:29" ht="16.5" customHeight="1">
      <c r="A27" s="126" t="s">
        <v>397</v>
      </c>
      <c r="B27" s="170">
        <v>6909.360098000001</v>
      </c>
      <c r="C27" s="170">
        <v>8118.0526169999994</v>
      </c>
      <c r="D27" s="170">
        <v>7955.9220679999999</v>
      </c>
      <c r="E27" s="170">
        <v>14544.577824000002</v>
      </c>
      <c r="F27" s="170">
        <v>17196.813416000001</v>
      </c>
      <c r="G27" s="170">
        <v>20366.959526999999</v>
      </c>
      <c r="H27" s="170">
        <v>23045.127879000003</v>
      </c>
      <c r="I27" s="170">
        <v>26432.626958000001</v>
      </c>
      <c r="J27" s="170">
        <v>29006.977849970004</v>
      </c>
      <c r="K27" s="170">
        <v>32145.791662399999</v>
      </c>
      <c r="L27" s="170">
        <v>36519.645472189994</v>
      </c>
      <c r="M27" s="170">
        <v>1109.4730335599997</v>
      </c>
      <c r="N27" s="170">
        <v>91.517687250000023</v>
      </c>
      <c r="O27" s="170">
        <v>23.620171999999986</v>
      </c>
      <c r="P27" s="170">
        <v>76.281204290000019</v>
      </c>
      <c r="Q27" s="170">
        <v>-274.96767546000007</v>
      </c>
      <c r="R27" s="170">
        <v>-205.27753544999996</v>
      </c>
      <c r="S27" s="170">
        <v>8.5182151600000005</v>
      </c>
      <c r="T27" s="170">
        <v>18.085566290000003</v>
      </c>
      <c r="U27" s="170">
        <v>0</v>
      </c>
      <c r="V27" s="170">
        <v>0</v>
      </c>
      <c r="W27" s="170">
        <v>0</v>
      </c>
      <c r="X27" s="170">
        <v>0</v>
      </c>
      <c r="Y27" s="170">
        <v>0</v>
      </c>
      <c r="Z27" s="170">
        <v>0</v>
      </c>
      <c r="AA27" s="170">
        <v>0</v>
      </c>
      <c r="AB27" s="170">
        <v>0</v>
      </c>
      <c r="AC27" s="170">
        <v>0</v>
      </c>
    </row>
    <row r="28" spans="1:29" ht="16.5" customHeight="1">
      <c r="A28" s="126" t="s">
        <v>398</v>
      </c>
      <c r="B28" s="170">
        <v>0</v>
      </c>
      <c r="C28" s="170">
        <v>0</v>
      </c>
      <c r="D28" s="170">
        <v>0</v>
      </c>
      <c r="E28" s="170">
        <v>0</v>
      </c>
      <c r="F28" s="170">
        <v>0</v>
      </c>
      <c r="G28" s="170">
        <v>7240.9347633100006</v>
      </c>
      <c r="H28" s="170">
        <v>7495.7372128799998</v>
      </c>
      <c r="I28" s="170">
        <v>7668.6112254900008</v>
      </c>
      <c r="J28" s="170">
        <v>7679.6773710000007</v>
      </c>
      <c r="K28" s="170">
        <v>7822.5840292700004</v>
      </c>
      <c r="L28" s="170">
        <v>7942.9848975800005</v>
      </c>
      <c r="M28" s="170">
        <v>5944.0053045999994</v>
      </c>
      <c r="N28" s="170">
        <v>4914.52883664</v>
      </c>
      <c r="O28" s="170">
        <v>7759.0581220000004</v>
      </c>
      <c r="P28" s="170">
        <v>8963.5165579999993</v>
      </c>
      <c r="Q28" s="170">
        <v>2877.6366208200002</v>
      </c>
      <c r="R28" s="170">
        <v>749.48155602000008</v>
      </c>
      <c r="S28" s="170">
        <v>30.320792579999999</v>
      </c>
      <c r="T28" s="170">
        <v>3277.8718475099995</v>
      </c>
      <c r="U28" s="170">
        <v>6010.6551706600003</v>
      </c>
      <c r="V28" s="170">
        <v>5827.3121670999999</v>
      </c>
      <c r="W28" s="170">
        <v>3963.3903137799998</v>
      </c>
      <c r="X28" s="170">
        <v>2792.8889666200007</v>
      </c>
      <c r="Y28" s="170">
        <v>1988.0668203400003</v>
      </c>
      <c r="Z28" s="170">
        <v>1927.9723081399998</v>
      </c>
      <c r="AA28" s="170">
        <v>1673.7556055600005</v>
      </c>
      <c r="AB28" s="170">
        <v>1209.0931907500001</v>
      </c>
      <c r="AC28" s="170">
        <v>3415.44885884</v>
      </c>
    </row>
    <row r="29" spans="1:29" ht="16.5" customHeight="1">
      <c r="A29" s="126" t="s">
        <v>399</v>
      </c>
      <c r="B29" s="170">
        <v>925.44373899999994</v>
      </c>
      <c r="C29" s="170">
        <v>974.51379299999996</v>
      </c>
      <c r="D29" s="170">
        <v>928.77872651999996</v>
      </c>
      <c r="E29" s="170">
        <v>1984.7592589999999</v>
      </c>
      <c r="F29" s="170">
        <v>3616.5654951495148</v>
      </c>
      <c r="G29" s="170">
        <v>4578.0609577200003</v>
      </c>
      <c r="H29" s="170">
        <v>5626.4067000000005</v>
      </c>
      <c r="I29" s="170">
        <v>6399.5102270000016</v>
      </c>
      <c r="J29" s="170">
        <v>7518.3599843199991</v>
      </c>
      <c r="K29" s="170">
        <v>5530.8294680500003</v>
      </c>
      <c r="L29" s="170">
        <v>8786.7395727599996</v>
      </c>
      <c r="M29" s="170">
        <v>7108.5655858599994</v>
      </c>
      <c r="N29" s="170">
        <v>13259.353730849998</v>
      </c>
      <c r="O29" s="170">
        <v>15130.592999</v>
      </c>
      <c r="P29" s="170">
        <v>21907.800117080005</v>
      </c>
      <c r="Q29" s="170">
        <v>13601.51405542996</v>
      </c>
      <c r="R29" s="170">
        <v>17096.288816360004</v>
      </c>
      <c r="S29" s="170">
        <v>20758.413909519993</v>
      </c>
      <c r="T29" s="170">
        <v>22299.812418919995</v>
      </c>
      <c r="U29" s="170">
        <v>38442.450417349988</v>
      </c>
      <c r="V29" s="170">
        <v>482.1851401100057</v>
      </c>
      <c r="W29" s="170">
        <v>9299.9546795899914</v>
      </c>
      <c r="X29" s="170">
        <v>22691.905772990001</v>
      </c>
      <c r="Y29" s="170">
        <v>25046.414799740003</v>
      </c>
      <c r="Z29" s="170">
        <v>27674.098097779995</v>
      </c>
      <c r="AA29" s="170">
        <v>27786.716049269999</v>
      </c>
      <c r="AB29" s="170">
        <v>40624.339206049997</v>
      </c>
      <c r="AC29" s="170">
        <v>33745.724569099999</v>
      </c>
    </row>
    <row r="30" spans="1:29" ht="16.5" customHeight="1">
      <c r="A30" s="120" t="s">
        <v>400</v>
      </c>
      <c r="B30" s="169">
        <v>-748.10899999999992</v>
      </c>
      <c r="C30" s="169">
        <v>-769.99900000000002</v>
      </c>
      <c r="D30" s="169">
        <v>-750.09300000000007</v>
      </c>
      <c r="E30" s="169">
        <v>-995.09955300000013</v>
      </c>
      <c r="F30" s="169">
        <v>-230.53638515</v>
      </c>
      <c r="G30" s="169">
        <v>-249.322</v>
      </c>
      <c r="H30" s="169">
        <v>-190</v>
      </c>
      <c r="I30" s="169">
        <v>0</v>
      </c>
      <c r="J30" s="169">
        <v>-6.9782739999999999</v>
      </c>
      <c r="K30" s="169">
        <v>0</v>
      </c>
      <c r="L30" s="169">
        <v>-10.09600534</v>
      </c>
      <c r="M30" s="169">
        <v>-1.0794299999999999</v>
      </c>
      <c r="N30" s="169">
        <v>-54.804604999999995</v>
      </c>
      <c r="O30" s="169">
        <v>-98.596546400000008</v>
      </c>
      <c r="P30" s="169">
        <v>-273.86240261999995</v>
      </c>
      <c r="Q30" s="169">
        <v>-142.17655500000001</v>
      </c>
      <c r="R30" s="169">
        <v>-51.56204838</v>
      </c>
      <c r="S30" s="169">
        <v>-6.2858440000000009</v>
      </c>
      <c r="T30" s="169">
        <v>-10.605143999999999</v>
      </c>
      <c r="U30" s="169">
        <v>-163.21314048802301</v>
      </c>
      <c r="V30" s="169">
        <v>-1378.9279037680176</v>
      </c>
      <c r="W30" s="169">
        <v>-14.05752584288099</v>
      </c>
      <c r="X30" s="169">
        <v>-47.8000343</v>
      </c>
      <c r="Y30" s="169">
        <v>-137.51541046</v>
      </c>
      <c r="Z30" s="169">
        <v>-160.45839827999998</v>
      </c>
      <c r="AA30" s="169">
        <v>-56.635025220000003</v>
      </c>
      <c r="AB30" s="169">
        <v>-78.035883429999998</v>
      </c>
      <c r="AC30" s="169">
        <v>0</v>
      </c>
    </row>
    <row r="31" spans="1:29" ht="16.5" customHeight="1">
      <c r="A31" s="120" t="s">
        <v>401</v>
      </c>
      <c r="B31" s="169">
        <v>44260.756999999991</v>
      </c>
      <c r="C31" s="169">
        <v>46283.80232114</v>
      </c>
      <c r="D31" s="169">
        <v>49065.283592859989</v>
      </c>
      <c r="E31" s="169">
        <v>55715.133753156995</v>
      </c>
      <c r="F31" s="169">
        <v>62491.889843650002</v>
      </c>
      <c r="G31" s="169">
        <v>71027.679417610008</v>
      </c>
      <c r="H31" s="169">
        <v>80730.149979530004</v>
      </c>
      <c r="I31" s="169">
        <v>93765.38227237</v>
      </c>
      <c r="J31" s="169">
        <v>108434.09657806001</v>
      </c>
      <c r="K31" s="169">
        <v>123520.19059296299</v>
      </c>
      <c r="L31" s="169">
        <v>140411.78868083199</v>
      </c>
      <c r="M31" s="169">
        <v>163355.27142175997</v>
      </c>
      <c r="N31" s="169">
        <v>182008.44418068998</v>
      </c>
      <c r="O31" s="169">
        <v>211968.37845694157</v>
      </c>
      <c r="P31" s="169">
        <v>245891.94119519001</v>
      </c>
      <c r="Q31" s="169">
        <v>275764.68869792449</v>
      </c>
      <c r="R31" s="169">
        <v>307146.98513935</v>
      </c>
      <c r="S31" s="169">
        <v>337503.13283227006</v>
      </c>
      <c r="T31" s="169">
        <v>350272.00390151003</v>
      </c>
      <c r="U31" s="169">
        <v>358137.31866677001</v>
      </c>
      <c r="V31" s="169">
        <v>374784.82827434002</v>
      </c>
      <c r="W31" s="169">
        <v>391181.79700336</v>
      </c>
      <c r="X31" s="169">
        <v>413331.29458847002</v>
      </c>
      <c r="Y31" s="169">
        <v>404772.51361546002</v>
      </c>
      <c r="Z31" s="169">
        <v>462244.11482627003</v>
      </c>
      <c r="AA31" s="169">
        <v>535709.90323387005</v>
      </c>
      <c r="AB31" s="169">
        <v>592666.51679287991</v>
      </c>
      <c r="AC31" s="169">
        <v>641155.47902840003</v>
      </c>
    </row>
    <row r="32" spans="1:29" ht="16.5" customHeight="1">
      <c r="A32" s="126" t="s">
        <v>402</v>
      </c>
      <c r="B32" s="170">
        <v>0</v>
      </c>
      <c r="C32" s="170">
        <v>0</v>
      </c>
      <c r="D32" s="170">
        <v>0</v>
      </c>
      <c r="E32" s="170">
        <v>0</v>
      </c>
      <c r="F32" s="170">
        <v>60628.49655389999</v>
      </c>
      <c r="G32" s="170">
        <v>68725.728346470016</v>
      </c>
      <c r="H32" s="170">
        <v>77833.662077494431</v>
      </c>
      <c r="I32" s="170">
        <v>90606.76203425492</v>
      </c>
      <c r="J32" s="170">
        <v>105086.40407190916</v>
      </c>
      <c r="K32" s="170">
        <v>119715.06874380306</v>
      </c>
      <c r="L32" s="170">
        <v>136166.4784194103</v>
      </c>
      <c r="M32" s="170">
        <v>158382.77681693007</v>
      </c>
      <c r="N32" s="170">
        <v>177444.32450114001</v>
      </c>
      <c r="O32" s="170">
        <v>207153.95381910927</v>
      </c>
      <c r="P32" s="170">
        <v>240535.90641879995</v>
      </c>
      <c r="Q32" s="170">
        <v>270001.57501843444</v>
      </c>
      <c r="R32" s="170">
        <v>300990.94631691254</v>
      </c>
      <c r="S32" s="170">
        <v>330832.97129041003</v>
      </c>
      <c r="T32" s="170">
        <v>343190.74348662997</v>
      </c>
      <c r="U32" s="170">
        <v>350216.99018385995</v>
      </c>
      <c r="V32" s="170">
        <v>365484.82065677992</v>
      </c>
      <c r="W32" s="170">
        <v>381261.63616544998</v>
      </c>
      <c r="X32" s="170">
        <v>404959.67260648002</v>
      </c>
      <c r="Y32" s="170">
        <v>396172.86801861</v>
      </c>
      <c r="Z32" s="170">
        <v>451885.85741725989</v>
      </c>
      <c r="AA32" s="170">
        <v>526647.12471212004</v>
      </c>
      <c r="AB32" s="170">
        <v>584082.27221016982</v>
      </c>
      <c r="AC32" s="170">
        <v>631303.41091993998</v>
      </c>
    </row>
    <row r="33" spans="1:29" ht="16.5" customHeight="1">
      <c r="A33" s="126" t="s">
        <v>403</v>
      </c>
      <c r="B33" s="170">
        <v>0</v>
      </c>
      <c r="C33" s="170">
        <v>0</v>
      </c>
      <c r="D33" s="170">
        <v>0</v>
      </c>
      <c r="E33" s="170">
        <v>0</v>
      </c>
      <c r="F33" s="170">
        <v>1863.3932814799996</v>
      </c>
      <c r="G33" s="170">
        <v>2301.9514488499999</v>
      </c>
      <c r="H33" s="170">
        <v>2896.487902035572</v>
      </c>
      <c r="I33" s="170">
        <v>3158.6214717850744</v>
      </c>
      <c r="J33" s="170">
        <v>3347.6926457208351</v>
      </c>
      <c r="K33" s="170">
        <v>3805.1267659599239</v>
      </c>
      <c r="L33" s="170">
        <v>4245.3093120797075</v>
      </c>
      <c r="M33" s="170">
        <v>4972.4949421199544</v>
      </c>
      <c r="N33" s="170">
        <v>4564.1196798800083</v>
      </c>
      <c r="O33" s="170">
        <v>4814.4246378099951</v>
      </c>
      <c r="P33" s="170">
        <v>5356.0347763999998</v>
      </c>
      <c r="Q33" s="170">
        <v>5763.113696280001</v>
      </c>
      <c r="R33" s="170">
        <v>6156.0388224299995</v>
      </c>
      <c r="S33" s="170">
        <v>6670.1615544300003</v>
      </c>
      <c r="T33" s="170">
        <v>7081.260414880001</v>
      </c>
      <c r="U33" s="170">
        <v>7920.3284829100003</v>
      </c>
      <c r="V33" s="170">
        <v>9300.0076175599988</v>
      </c>
      <c r="W33" s="170">
        <v>9920.1608379099998</v>
      </c>
      <c r="X33" s="170">
        <v>8371.6219819899998</v>
      </c>
      <c r="Y33" s="170">
        <v>8599.6455968499995</v>
      </c>
      <c r="Z33" s="170">
        <v>10358.257409010001</v>
      </c>
      <c r="AA33" s="170">
        <v>9062.7785217499986</v>
      </c>
      <c r="AB33" s="170">
        <v>8584.24458271</v>
      </c>
      <c r="AC33" s="170">
        <v>9852.0681084600001</v>
      </c>
    </row>
    <row r="34" spans="1:29" ht="16.5" customHeight="1">
      <c r="A34" s="120" t="s">
        <v>404</v>
      </c>
      <c r="B34" s="169">
        <v>13788.735807220004</v>
      </c>
      <c r="C34" s="169">
        <v>26249.988533693999</v>
      </c>
      <c r="D34" s="169">
        <v>26753.097894870087</v>
      </c>
      <c r="E34" s="169">
        <v>24144.168915198912</v>
      </c>
      <c r="F34" s="169">
        <v>28961.654236696428</v>
      </c>
      <c r="G34" s="169">
        <v>29377.302533910944</v>
      </c>
      <c r="H34" s="169">
        <v>32722.02597417009</v>
      </c>
      <c r="I34" s="169">
        <v>38420.239661623389</v>
      </c>
      <c r="J34" s="169">
        <v>46325.331419329603</v>
      </c>
      <c r="K34" s="169">
        <v>60100.645627405902</v>
      </c>
      <c r="L34" s="169">
        <v>60440.97717075095</v>
      </c>
      <c r="M34" s="169">
        <v>85924.658879389972</v>
      </c>
      <c r="N34" s="169">
        <v>100031.97511525996</v>
      </c>
      <c r="O34" s="169">
        <v>175455.59598968699</v>
      </c>
      <c r="P34" s="169">
        <v>113757.06496855996</v>
      </c>
      <c r="Q34" s="169">
        <v>149131.85119443995</v>
      </c>
      <c r="R34" s="169">
        <v>151694.44780490006</v>
      </c>
      <c r="S34" s="169">
        <v>144799.28050228988</v>
      </c>
      <c r="T34" s="169">
        <v>133705.10764198002</v>
      </c>
      <c r="U34" s="169">
        <v>138259.30825769447</v>
      </c>
      <c r="V34" s="169">
        <v>174683.71100161702</v>
      </c>
      <c r="W34" s="169">
        <v>192779.042231687</v>
      </c>
      <c r="X34" s="169">
        <v>276241.50387919997</v>
      </c>
      <c r="Y34" s="169">
        <v>163938.63112175002</v>
      </c>
      <c r="Z34" s="169">
        <v>274853.72188561002</v>
      </c>
      <c r="AA34" s="169">
        <v>387651.70937712002</v>
      </c>
      <c r="AB34" s="169">
        <v>321541.16347746999</v>
      </c>
      <c r="AC34" s="169">
        <v>348265.72268372006</v>
      </c>
    </row>
    <row r="35" spans="1:29" ht="16.5" customHeight="1">
      <c r="A35" s="129" t="s">
        <v>405</v>
      </c>
      <c r="B35" s="170">
        <v>1517.1922220000001</v>
      </c>
      <c r="C35" s="170">
        <v>9357.7183309609991</v>
      </c>
      <c r="D35" s="170">
        <v>9151.1957503249978</v>
      </c>
      <c r="E35" s="170">
        <v>5227.0388464459993</v>
      </c>
      <c r="F35" s="170">
        <v>4381.3112466470002</v>
      </c>
      <c r="G35" s="170">
        <v>1820.008949235</v>
      </c>
      <c r="H35" s="170">
        <v>402.465834282</v>
      </c>
      <c r="I35" s="170">
        <v>1254.3556280299999</v>
      </c>
      <c r="J35" s="170">
        <v>826.8294451500002</v>
      </c>
      <c r="K35" s="170">
        <v>984.63625320000006</v>
      </c>
      <c r="L35" s="170">
        <v>2064.0023676800001</v>
      </c>
      <c r="M35" s="170">
        <v>6080.0049266100004</v>
      </c>
      <c r="N35" s="170">
        <v>3091.4169553399997</v>
      </c>
      <c r="O35" s="170">
        <v>1158.3960784400001</v>
      </c>
      <c r="P35" s="170">
        <v>3938.2754905499996</v>
      </c>
      <c r="Q35" s="170">
        <v>2237.1374867899999</v>
      </c>
      <c r="R35" s="170">
        <v>22072.595007759999</v>
      </c>
      <c r="S35" s="170">
        <v>7921.1193618800007</v>
      </c>
      <c r="T35" s="170">
        <v>5891.2317086499997</v>
      </c>
      <c r="U35" s="170">
        <v>21907.809140645146</v>
      </c>
      <c r="V35" s="170">
        <v>32106.477046569998</v>
      </c>
      <c r="W35" s="170">
        <v>21929.157646290001</v>
      </c>
      <c r="X35" s="170">
        <v>93281.326879660002</v>
      </c>
      <c r="Y35" s="170">
        <v>8178.6539466599988</v>
      </c>
      <c r="Z35" s="170">
        <v>9865.8412816599994</v>
      </c>
      <c r="AA35" s="170">
        <v>46847.104128580002</v>
      </c>
      <c r="AB35" s="170">
        <v>8819.6480968799988</v>
      </c>
      <c r="AC35" s="170">
        <v>16470.007017390002</v>
      </c>
    </row>
    <row r="36" spans="1:29" s="128" customFormat="1" ht="16.5" customHeight="1">
      <c r="A36" s="129" t="s">
        <v>406</v>
      </c>
      <c r="B36" s="170">
        <v>822.34666500000003</v>
      </c>
      <c r="C36" s="170">
        <v>2370.5524376799999</v>
      </c>
      <c r="D36" s="170">
        <v>1791.5977170200003</v>
      </c>
      <c r="E36" s="170">
        <v>1572.1780563499999</v>
      </c>
      <c r="F36" s="170">
        <v>3231.9222647199999</v>
      </c>
      <c r="G36" s="170">
        <v>3163.8384732499999</v>
      </c>
      <c r="H36" s="170">
        <v>3828.3481803899995</v>
      </c>
      <c r="I36" s="170">
        <v>4308.9621940800007</v>
      </c>
      <c r="J36" s="170">
        <v>4853.9626398000009</v>
      </c>
      <c r="K36" s="170">
        <v>9740.3948014299986</v>
      </c>
      <c r="L36" s="170">
        <v>6977.1417652600012</v>
      </c>
      <c r="M36" s="170">
        <v>13363.76828129</v>
      </c>
      <c r="N36" s="170">
        <v>26683.036292009998</v>
      </c>
      <c r="O36" s="170">
        <v>22414.450086139997</v>
      </c>
      <c r="P36" s="170">
        <v>19962.368370390002</v>
      </c>
      <c r="Q36" s="170">
        <v>28018.983493369997</v>
      </c>
      <c r="R36" s="170">
        <v>17141.64546023</v>
      </c>
      <c r="S36" s="170">
        <v>18939.596358389997</v>
      </c>
      <c r="T36" s="170">
        <v>12072.644033909999</v>
      </c>
      <c r="U36" s="170">
        <v>2847.77375841</v>
      </c>
      <c r="V36" s="170">
        <v>5517.0990372599981</v>
      </c>
      <c r="W36" s="170">
        <v>7676.4711798000026</v>
      </c>
      <c r="X36" s="170">
        <v>20879.007492519999</v>
      </c>
      <c r="Y36" s="170">
        <v>6576.814339909999</v>
      </c>
      <c r="Z36" s="170">
        <v>43484.460820049993</v>
      </c>
      <c r="AA36" s="170">
        <v>87003.604417010007</v>
      </c>
      <c r="AB36" s="170">
        <v>49957.934620969994</v>
      </c>
      <c r="AC36" s="170">
        <v>72381.42176710999</v>
      </c>
    </row>
    <row r="37" spans="1:29" ht="16.5" customHeight="1">
      <c r="A37" s="125" t="s">
        <v>407</v>
      </c>
      <c r="B37" s="170">
        <v>0</v>
      </c>
      <c r="C37" s="170">
        <v>0</v>
      </c>
      <c r="D37" s="170">
        <v>0</v>
      </c>
      <c r="E37" s="170">
        <v>136.96363449</v>
      </c>
      <c r="F37" s="170">
        <v>165.47450637999998</v>
      </c>
      <c r="G37" s="170">
        <v>292.87016348999998</v>
      </c>
      <c r="H37" s="170">
        <v>436.45735565999996</v>
      </c>
      <c r="I37" s="170">
        <v>856.70620068999995</v>
      </c>
      <c r="J37" s="170">
        <v>641.03345511999999</v>
      </c>
      <c r="K37" s="170">
        <v>2265.42579763</v>
      </c>
      <c r="L37" s="170">
        <v>1607.5859329099999</v>
      </c>
      <c r="M37" s="170">
        <v>1798.1667628299999</v>
      </c>
      <c r="N37" s="170">
        <v>2277.00124065</v>
      </c>
      <c r="O37" s="170">
        <v>3277.9378492800001</v>
      </c>
      <c r="P37" s="170">
        <v>2620.9868203899996</v>
      </c>
      <c r="Q37" s="170">
        <v>2970.3783232599994</v>
      </c>
      <c r="R37" s="170">
        <v>3455.4553172999995</v>
      </c>
      <c r="S37" s="170">
        <v>2412.9540048099998</v>
      </c>
      <c r="T37" s="170">
        <v>2997.67890257</v>
      </c>
      <c r="U37" s="170">
        <v>1328.066533695812</v>
      </c>
      <c r="V37" s="170">
        <v>1374.9797100604412</v>
      </c>
      <c r="W37" s="170">
        <v>2203.8689216240923</v>
      </c>
      <c r="X37" s="170">
        <v>3708.9006048199994</v>
      </c>
      <c r="Y37" s="170">
        <v>2119.9306972248692</v>
      </c>
      <c r="Z37" s="170">
        <v>3246.8985320299998</v>
      </c>
      <c r="AA37" s="170">
        <v>5975.2388777599999</v>
      </c>
      <c r="AB37" s="170">
        <v>6555.2432128</v>
      </c>
      <c r="AC37" s="170">
        <v>7487.0406284000001</v>
      </c>
    </row>
    <row r="38" spans="1:29" ht="16.5" customHeight="1">
      <c r="A38" s="125" t="s">
        <v>408</v>
      </c>
      <c r="B38" s="170">
        <v>0</v>
      </c>
      <c r="C38" s="170">
        <v>0</v>
      </c>
      <c r="D38" s="170">
        <v>0</v>
      </c>
      <c r="E38" s="170">
        <v>4.9453732700000002</v>
      </c>
      <c r="F38" s="170">
        <v>2.6140128899999997</v>
      </c>
      <c r="G38" s="170">
        <v>0</v>
      </c>
      <c r="H38" s="170">
        <v>5.9034367999999997</v>
      </c>
      <c r="I38" s="170">
        <v>27.494717819999998</v>
      </c>
      <c r="J38" s="170">
        <v>36.751325269999995</v>
      </c>
      <c r="K38" s="170">
        <v>12.744067250000001</v>
      </c>
      <c r="L38" s="170">
        <v>117.93084103</v>
      </c>
      <c r="M38" s="170">
        <v>170.73244831</v>
      </c>
      <c r="N38" s="170">
        <v>137.27921436999998</v>
      </c>
      <c r="O38" s="170">
        <v>299.18579126999998</v>
      </c>
      <c r="P38" s="170">
        <v>240.41315005000001</v>
      </c>
      <c r="Q38" s="170">
        <v>122.67921817999999</v>
      </c>
      <c r="R38" s="170">
        <v>228.00795912999999</v>
      </c>
      <c r="S38" s="170">
        <v>97.489428439999998</v>
      </c>
      <c r="T38" s="170">
        <v>248.60633748999999</v>
      </c>
      <c r="U38" s="170">
        <v>36.98202345</v>
      </c>
      <c r="V38" s="170">
        <v>100.90268448</v>
      </c>
      <c r="W38" s="170">
        <v>78.469789980000002</v>
      </c>
      <c r="X38" s="170">
        <v>176.72171718999999</v>
      </c>
      <c r="Y38" s="170">
        <v>130.34281397000001</v>
      </c>
      <c r="Z38" s="170">
        <v>135.04688074000001</v>
      </c>
      <c r="AA38" s="170">
        <v>214.70144848000001</v>
      </c>
      <c r="AB38" s="170">
        <v>297.01897166999998</v>
      </c>
      <c r="AC38" s="170">
        <v>290.03350439999997</v>
      </c>
    </row>
    <row r="39" spans="1:29" ht="16.5" customHeight="1">
      <c r="A39" s="125" t="s">
        <v>409</v>
      </c>
      <c r="B39" s="170">
        <v>0</v>
      </c>
      <c r="C39" s="170">
        <v>0</v>
      </c>
      <c r="D39" s="170">
        <v>0</v>
      </c>
      <c r="E39" s="170">
        <v>304.65898472000003</v>
      </c>
      <c r="F39" s="170">
        <v>599.91195029999994</v>
      </c>
      <c r="G39" s="170">
        <v>444.41837333999996</v>
      </c>
      <c r="H39" s="170">
        <v>606.57777487999999</v>
      </c>
      <c r="I39" s="170">
        <v>264.91438291999998</v>
      </c>
      <c r="J39" s="170">
        <v>1428.8814413800001</v>
      </c>
      <c r="K39" s="170">
        <v>3041.66865831</v>
      </c>
      <c r="L39" s="170">
        <v>923.62613965999992</v>
      </c>
      <c r="M39" s="170">
        <v>6016.5169731000005</v>
      </c>
      <c r="N39" s="170">
        <v>10950.146875230001</v>
      </c>
      <c r="O39" s="170">
        <v>10125.275654500001</v>
      </c>
      <c r="P39" s="170">
        <v>6904.6959648299999</v>
      </c>
      <c r="Q39" s="170">
        <v>12937.765347040002</v>
      </c>
      <c r="R39" s="170">
        <v>6998.6608534666957</v>
      </c>
      <c r="S39" s="170">
        <v>9079.6801223190378</v>
      </c>
      <c r="T39" s="170">
        <v>4971.9975003600002</v>
      </c>
      <c r="U39" s="170">
        <v>217.45450425000001</v>
      </c>
      <c r="V39" s="170">
        <v>3412.4499049370702</v>
      </c>
      <c r="W39" s="170">
        <v>1500.0494800997201</v>
      </c>
      <c r="X39" s="170">
        <v>9537.8159331900006</v>
      </c>
      <c r="Y39" s="170">
        <v>0</v>
      </c>
      <c r="Z39" s="170">
        <v>13565.364487119999</v>
      </c>
      <c r="AA39" s="170">
        <v>18878.604574760004</v>
      </c>
      <c r="AB39" s="170">
        <v>10425.06116453</v>
      </c>
      <c r="AC39" s="170">
        <v>29500.048941770001</v>
      </c>
    </row>
    <row r="40" spans="1:29" ht="16.5" customHeight="1">
      <c r="A40" s="125" t="s">
        <v>410</v>
      </c>
      <c r="B40" s="170">
        <v>0</v>
      </c>
      <c r="C40" s="170">
        <v>0</v>
      </c>
      <c r="D40" s="170">
        <v>0</v>
      </c>
      <c r="E40" s="170">
        <v>106.194316</v>
      </c>
      <c r="F40" s="170">
        <v>0</v>
      </c>
      <c r="G40" s="170">
        <v>0</v>
      </c>
      <c r="H40" s="170">
        <v>1055.9306732</v>
      </c>
      <c r="I40" s="170">
        <v>534.05948235999995</v>
      </c>
      <c r="J40" s="170">
        <v>502.95115569000001</v>
      </c>
      <c r="K40" s="170">
        <v>1100.19963026</v>
      </c>
      <c r="L40" s="170">
        <v>996.75701826</v>
      </c>
      <c r="M40" s="170">
        <v>2124.5567919499999</v>
      </c>
      <c r="N40" s="170">
        <v>2565.2802418799997</v>
      </c>
      <c r="O40" s="170">
        <v>3940.04132949</v>
      </c>
      <c r="P40" s="170">
        <v>3679.64187507</v>
      </c>
      <c r="Q40" s="170">
        <v>7700</v>
      </c>
      <c r="R40" s="170">
        <v>4000</v>
      </c>
      <c r="S40" s="170">
        <v>4356.3599566000003</v>
      </c>
      <c r="T40" s="170">
        <v>3398.9848590300003</v>
      </c>
      <c r="U40" s="170">
        <v>738.65816509000001</v>
      </c>
      <c r="V40" s="170">
        <v>73.130198559999997</v>
      </c>
      <c r="W40" s="170">
        <v>2804.3166988800003</v>
      </c>
      <c r="X40" s="170">
        <v>4766.8469409999998</v>
      </c>
      <c r="Y40" s="170">
        <v>1008.0332203699999</v>
      </c>
      <c r="Z40" s="170">
        <v>2816.1538072500002</v>
      </c>
      <c r="AA40" s="170">
        <v>3591.4282609300003</v>
      </c>
      <c r="AB40" s="170">
        <v>1817.82944286</v>
      </c>
      <c r="AC40" s="170">
        <v>2792.6299729799998</v>
      </c>
    </row>
    <row r="41" spans="1:29" ht="16.5" customHeight="1">
      <c r="A41" s="125" t="s">
        <v>411</v>
      </c>
      <c r="B41" s="170">
        <v>0</v>
      </c>
      <c r="C41" s="170">
        <v>0</v>
      </c>
      <c r="D41" s="170">
        <v>0</v>
      </c>
      <c r="E41" s="170">
        <v>66.245183439999991</v>
      </c>
      <c r="F41" s="170">
        <v>0</v>
      </c>
      <c r="G41" s="170">
        <v>124.82082966</v>
      </c>
      <c r="H41" s="170">
        <v>103.63283826999999</v>
      </c>
      <c r="I41" s="170">
        <v>72.379257849999988</v>
      </c>
      <c r="J41" s="170">
        <v>84.558515180000001</v>
      </c>
      <c r="K41" s="170">
        <v>299.62131105000003</v>
      </c>
      <c r="L41" s="170">
        <v>267.17114939999999</v>
      </c>
      <c r="M41" s="170">
        <v>403.10275395000002</v>
      </c>
      <c r="N41" s="170">
        <v>392.59035505999998</v>
      </c>
      <c r="O41" s="170">
        <v>57.797921380000005</v>
      </c>
      <c r="P41" s="170">
        <v>1742.9840783721856</v>
      </c>
      <c r="Q41" s="170">
        <v>824.95200883000007</v>
      </c>
      <c r="R41" s="170">
        <v>401.08336007999998</v>
      </c>
      <c r="S41" s="170">
        <v>0</v>
      </c>
      <c r="T41" s="170">
        <v>0</v>
      </c>
      <c r="U41" s="170">
        <v>0</v>
      </c>
      <c r="V41" s="170">
        <v>0</v>
      </c>
      <c r="W41" s="170">
        <v>0</v>
      </c>
      <c r="X41" s="170">
        <v>0</v>
      </c>
      <c r="Y41" s="170">
        <v>0</v>
      </c>
      <c r="Z41" s="170">
        <v>0</v>
      </c>
      <c r="AA41" s="170">
        <v>260.23832408999999</v>
      </c>
      <c r="AB41" s="170">
        <v>0</v>
      </c>
      <c r="AC41" s="170">
        <v>0</v>
      </c>
    </row>
    <row r="42" spans="1:29" ht="16.5" customHeight="1">
      <c r="A42" s="125" t="s">
        <v>412</v>
      </c>
      <c r="B42" s="170">
        <v>0</v>
      </c>
      <c r="C42" s="170">
        <v>0</v>
      </c>
      <c r="D42" s="170">
        <v>0</v>
      </c>
      <c r="E42" s="170">
        <v>284.31436364999996</v>
      </c>
      <c r="F42" s="170">
        <v>431.25141754999999</v>
      </c>
      <c r="G42" s="170">
        <v>885.81449981000003</v>
      </c>
      <c r="H42" s="170">
        <v>189.4120595</v>
      </c>
      <c r="I42" s="170">
        <v>131.89601482999998</v>
      </c>
      <c r="J42" s="170">
        <v>146.51685583999998</v>
      </c>
      <c r="K42" s="170">
        <v>137.76195435</v>
      </c>
      <c r="L42" s="170">
        <v>124.36710690000001</v>
      </c>
      <c r="M42" s="170">
        <v>263.06046788999998</v>
      </c>
      <c r="N42" s="170">
        <v>4315.1810440999998</v>
      </c>
      <c r="O42" s="170">
        <v>657.6824679174216</v>
      </c>
      <c r="P42" s="170">
        <v>500.56457169999999</v>
      </c>
      <c r="Q42" s="170">
        <v>724.95662886000002</v>
      </c>
      <c r="R42" s="170">
        <v>267.85307495998336</v>
      </c>
      <c r="S42" s="170">
        <v>230.51718036000003</v>
      </c>
      <c r="T42" s="170">
        <v>1.6034E-4</v>
      </c>
      <c r="U42" s="170">
        <v>0</v>
      </c>
      <c r="V42" s="170">
        <v>2.7672649590064803E-3</v>
      </c>
      <c r="W42" s="170">
        <v>0</v>
      </c>
      <c r="X42" s="170">
        <v>476.13164309000001</v>
      </c>
      <c r="Y42" s="170">
        <v>1085.5773909500001</v>
      </c>
      <c r="Z42" s="170">
        <v>1600.6089726599998</v>
      </c>
      <c r="AA42" s="170">
        <v>471.64707692000002</v>
      </c>
      <c r="AB42" s="170">
        <v>187.84189696000001</v>
      </c>
      <c r="AC42" s="170">
        <v>268.69553399</v>
      </c>
    </row>
    <row r="43" spans="1:29" s="122" customFormat="1" ht="16.5" customHeight="1">
      <c r="A43" s="125" t="s">
        <v>413</v>
      </c>
      <c r="B43" s="170">
        <v>0</v>
      </c>
      <c r="C43" s="170">
        <v>0</v>
      </c>
      <c r="D43" s="170">
        <v>0</v>
      </c>
      <c r="E43" s="170">
        <v>19.205799649999999</v>
      </c>
      <c r="F43" s="170">
        <v>5.8244347100000002</v>
      </c>
      <c r="G43" s="170">
        <v>44.152879310000003</v>
      </c>
      <c r="H43" s="170">
        <v>84.178522940000008</v>
      </c>
      <c r="I43" s="170">
        <v>31.190104179999999</v>
      </c>
      <c r="J43" s="170">
        <v>120.24311352999999</v>
      </c>
      <c r="K43" s="170">
        <v>182.49703019999998</v>
      </c>
      <c r="L43" s="170">
        <v>15.760592949999999</v>
      </c>
      <c r="M43" s="170">
        <v>85.964468579999988</v>
      </c>
      <c r="N43" s="170">
        <v>207.01633697</v>
      </c>
      <c r="O43" s="170">
        <v>114.79695757</v>
      </c>
      <c r="P43" s="170">
        <v>140.95514584</v>
      </c>
      <c r="Q43" s="170">
        <v>149.35049989999999</v>
      </c>
      <c r="R43" s="170">
        <v>78.923774240000199</v>
      </c>
      <c r="S43" s="170">
        <v>85.298065929999993</v>
      </c>
      <c r="T43" s="170">
        <v>121.69377305</v>
      </c>
      <c r="U43" s="170">
        <v>83.338869000000003</v>
      </c>
      <c r="V43" s="170">
        <v>73.834892150000002</v>
      </c>
      <c r="W43" s="170">
        <v>81.084294391018219</v>
      </c>
      <c r="X43" s="170">
        <v>85.440581159999994</v>
      </c>
      <c r="Y43" s="170">
        <v>0</v>
      </c>
      <c r="Z43" s="170">
        <v>0</v>
      </c>
      <c r="AA43" s="170">
        <v>0</v>
      </c>
      <c r="AB43" s="170">
        <v>0</v>
      </c>
      <c r="AC43" s="170">
        <v>0</v>
      </c>
    </row>
    <row r="44" spans="1:29" ht="16.5" customHeight="1">
      <c r="A44" s="125" t="s">
        <v>414</v>
      </c>
      <c r="B44" s="170">
        <v>0</v>
      </c>
      <c r="C44" s="170">
        <v>0</v>
      </c>
      <c r="D44" s="170">
        <v>0</v>
      </c>
      <c r="E44" s="170">
        <v>446.61523563999998</v>
      </c>
      <c r="F44" s="170">
        <v>1201.2694938000002</v>
      </c>
      <c r="G44" s="170">
        <v>1036.82688856</v>
      </c>
      <c r="H44" s="170">
        <v>942.32556755999985</v>
      </c>
      <c r="I44" s="170">
        <v>1884.43852122</v>
      </c>
      <c r="J44" s="170">
        <v>1684.5684762999999</v>
      </c>
      <c r="K44" s="170">
        <v>2340.6736086599999</v>
      </c>
      <c r="L44" s="170">
        <v>2588.0997929320001</v>
      </c>
      <c r="M44" s="170">
        <v>2170.8211685052001</v>
      </c>
      <c r="N44" s="170">
        <v>5333.9225338399992</v>
      </c>
      <c r="O44" s="170">
        <v>3222.1450636499999</v>
      </c>
      <c r="P44" s="170">
        <v>3321.30403458</v>
      </c>
      <c r="Q44" s="170">
        <v>1886.61625048</v>
      </c>
      <c r="R44" s="170">
        <v>1015.53782516</v>
      </c>
      <c r="S44" s="170">
        <v>2012.6725339700001</v>
      </c>
      <c r="T44" s="170">
        <v>0</v>
      </c>
      <c r="U44" s="170">
        <v>0</v>
      </c>
      <c r="V44" s="170">
        <v>0</v>
      </c>
      <c r="W44" s="170">
        <v>748.09416220000003</v>
      </c>
      <c r="X44" s="170">
        <v>1313.5897608099999</v>
      </c>
      <c r="Y44" s="170">
        <v>1648.87434289</v>
      </c>
      <c r="Z44" s="170">
        <v>21143.879795100002</v>
      </c>
      <c r="AA44" s="170">
        <v>56373.902527820006</v>
      </c>
      <c r="AB44" s="170">
        <v>28688.99356821</v>
      </c>
      <c r="AC44" s="170">
        <v>29719.831930930006</v>
      </c>
    </row>
    <row r="45" spans="1:29" ht="16.5" customHeight="1">
      <c r="A45" s="125" t="s">
        <v>415</v>
      </c>
      <c r="B45" s="170">
        <v>0</v>
      </c>
      <c r="C45" s="170">
        <v>0</v>
      </c>
      <c r="D45" s="170">
        <v>0</v>
      </c>
      <c r="E45" s="170">
        <v>203.03516549000014</v>
      </c>
      <c r="F45" s="170">
        <v>825.57644909000021</v>
      </c>
      <c r="G45" s="170">
        <v>334.93483908000013</v>
      </c>
      <c r="H45" s="170">
        <v>403.92995158000031</v>
      </c>
      <c r="I45" s="170">
        <v>505.88351221000028</v>
      </c>
      <c r="J45" s="170">
        <v>208.45830149000034</v>
      </c>
      <c r="K45" s="170">
        <v>359.80274371999917</v>
      </c>
      <c r="L45" s="170">
        <v>335.84319121800013</v>
      </c>
      <c r="M45" s="170">
        <v>330.84644617479989</v>
      </c>
      <c r="N45" s="170">
        <v>504.61844991000089</v>
      </c>
      <c r="O45" s="170">
        <v>719.58705108257732</v>
      </c>
      <c r="P45" s="170">
        <v>810.82272955781491</v>
      </c>
      <c r="Q45" s="170">
        <v>702.2852168199986</v>
      </c>
      <c r="R45" s="170">
        <v>696.12329589332001</v>
      </c>
      <c r="S45" s="170">
        <v>664.62506596096341</v>
      </c>
      <c r="T45" s="170">
        <v>333.68250107000034</v>
      </c>
      <c r="U45" s="170">
        <v>443.27366292418787</v>
      </c>
      <c r="V45" s="170">
        <v>481.7988798075296</v>
      </c>
      <c r="W45" s="170">
        <v>260.58783262517051</v>
      </c>
      <c r="X45" s="170">
        <v>813.56031126000084</v>
      </c>
      <c r="Y45" s="170">
        <v>584.0558745051303</v>
      </c>
      <c r="Z45" s="170">
        <v>976.50834515000054</v>
      </c>
      <c r="AA45" s="170">
        <v>1237.8433262499964</v>
      </c>
      <c r="AB45" s="170">
        <v>1985.9463639399987</v>
      </c>
      <c r="AC45" s="170">
        <v>2323.141254640002</v>
      </c>
    </row>
    <row r="46" spans="1:29" ht="16.5" customHeight="1">
      <c r="A46" s="129" t="s">
        <v>416</v>
      </c>
      <c r="B46" s="170">
        <v>1299.8476134800001</v>
      </c>
      <c r="C46" s="170">
        <v>1265.8140825100002</v>
      </c>
      <c r="D46" s="170">
        <v>1575.9999039900001</v>
      </c>
      <c r="E46" s="170">
        <v>1595.7645813500001</v>
      </c>
      <c r="F46" s="170">
        <v>1596.1450479</v>
      </c>
      <c r="G46" s="170">
        <v>2159.0644132100001</v>
      </c>
      <c r="H46" s="170">
        <v>2087.1763458600003</v>
      </c>
      <c r="I46" s="170">
        <v>2815.9962162699994</v>
      </c>
      <c r="J46" s="170">
        <v>4189.2938395800002</v>
      </c>
      <c r="K46" s="170">
        <v>4907.8845367200001</v>
      </c>
      <c r="L46" s="170">
        <v>5648.5109582200012</v>
      </c>
      <c r="M46" s="170">
        <v>6627.4730581999993</v>
      </c>
      <c r="N46" s="170">
        <v>7558.5606014200002</v>
      </c>
      <c r="O46" s="170">
        <v>8573.9147585299997</v>
      </c>
      <c r="P46" s="170">
        <v>9291.6340872199999</v>
      </c>
      <c r="Q46" s="170">
        <v>9492.5975593700005</v>
      </c>
      <c r="R46" s="170">
        <v>10171.445974010001</v>
      </c>
      <c r="S46" s="170">
        <v>10917.087140629999</v>
      </c>
      <c r="T46" s="170">
        <v>11928.57402109</v>
      </c>
      <c r="U46" s="170">
        <v>12388.400368080001</v>
      </c>
      <c r="V46" s="170">
        <v>13707.273658819999</v>
      </c>
      <c r="W46" s="170">
        <v>13731.54913259</v>
      </c>
      <c r="X46" s="170">
        <v>13926.892281479999</v>
      </c>
      <c r="Y46" s="170">
        <v>17397.459554779998</v>
      </c>
      <c r="Z46" s="170">
        <v>17945.254768940002</v>
      </c>
      <c r="AA46" s="170">
        <v>17283.70717414</v>
      </c>
      <c r="AB46" s="170">
        <v>17399.308237469999</v>
      </c>
      <c r="AC46" s="170">
        <v>18600.49087166</v>
      </c>
    </row>
    <row r="47" spans="1:29" ht="16.5" customHeight="1">
      <c r="A47" s="129" t="s">
        <v>417</v>
      </c>
      <c r="B47" s="170">
        <v>0</v>
      </c>
      <c r="C47" s="170">
        <v>0</v>
      </c>
      <c r="D47" s="170">
        <v>0</v>
      </c>
      <c r="E47" s="170">
        <v>0</v>
      </c>
      <c r="F47" s="170">
        <v>4543.6776400000008</v>
      </c>
      <c r="G47" s="170">
        <v>7161.7581790899994</v>
      </c>
      <c r="H47" s="170">
        <v>10887.767614880002</v>
      </c>
      <c r="I47" s="170">
        <v>12156.132150760002</v>
      </c>
      <c r="J47" s="170">
        <v>15114.053874450001</v>
      </c>
      <c r="K47" s="170">
        <v>18595.361523669999</v>
      </c>
      <c r="L47" s="170">
        <v>17026.18011424</v>
      </c>
      <c r="M47" s="170">
        <v>25031.684856200001</v>
      </c>
      <c r="N47" s="170">
        <v>19412.031317249999</v>
      </c>
      <c r="O47" s="170">
        <v>24420.668337410003</v>
      </c>
      <c r="P47" s="170">
        <v>29585.560164810002</v>
      </c>
      <c r="Q47" s="170">
        <v>34131.248516350002</v>
      </c>
      <c r="R47" s="170">
        <v>36450.835378039999</v>
      </c>
      <c r="S47" s="170">
        <v>39372.781414650002</v>
      </c>
      <c r="T47" s="170">
        <v>28830.868497960008</v>
      </c>
      <c r="U47" s="170">
        <v>23274.601408530001</v>
      </c>
      <c r="V47" s="170">
        <v>36039.658521720005</v>
      </c>
      <c r="W47" s="170">
        <v>59914.286116939991</v>
      </c>
      <c r="X47" s="170">
        <v>64681.306739330001</v>
      </c>
      <c r="Y47" s="170">
        <v>56488.562948949992</v>
      </c>
      <c r="Z47" s="170">
        <v>94063.605722680004</v>
      </c>
      <c r="AA47" s="170">
        <v>132482.30356376001</v>
      </c>
      <c r="AB47" s="170">
        <v>112874.32783108001</v>
      </c>
      <c r="AC47" s="170">
        <v>118761.68212732</v>
      </c>
    </row>
    <row r="48" spans="1:29" ht="16.5" customHeight="1">
      <c r="A48" s="129" t="s">
        <v>418</v>
      </c>
      <c r="B48" s="170">
        <v>0</v>
      </c>
      <c r="C48" s="170">
        <v>0</v>
      </c>
      <c r="D48" s="170">
        <v>5185.3749230000003</v>
      </c>
      <c r="E48" s="170">
        <v>6372.7949999999992</v>
      </c>
      <c r="F48" s="170">
        <v>7324.6500449499999</v>
      </c>
      <c r="G48" s="170">
        <v>7807.274677370001</v>
      </c>
      <c r="H48" s="170">
        <v>8421.1521241499995</v>
      </c>
      <c r="I48" s="170">
        <v>4934.5183132000011</v>
      </c>
      <c r="J48" s="170">
        <v>5362.2058859700001</v>
      </c>
      <c r="K48" s="170">
        <v>6259.1141106699997</v>
      </c>
      <c r="L48" s="170">
        <v>8028.2172102860004</v>
      </c>
      <c r="M48" s="170">
        <v>9377.6121126500002</v>
      </c>
      <c r="N48" s="170">
        <v>10075.117655889999</v>
      </c>
      <c r="O48" s="170">
        <v>11422.34921547</v>
      </c>
      <c r="P48" s="170">
        <v>13568.856657652999</v>
      </c>
      <c r="Q48" s="170">
        <v>18659.543840949998</v>
      </c>
      <c r="R48" s="170">
        <v>13202.52558182</v>
      </c>
      <c r="S48" s="170">
        <v>12449.85865844</v>
      </c>
      <c r="T48" s="170">
        <v>14559.790754030002</v>
      </c>
      <c r="U48" s="170">
        <v>14377.001030149999</v>
      </c>
      <c r="V48" s="170">
        <v>13457.763192780003</v>
      </c>
      <c r="W48" s="170">
        <v>14794.087130690001</v>
      </c>
      <c r="X48" s="170">
        <v>15887.09786989</v>
      </c>
      <c r="Y48" s="170">
        <v>13250.48299117</v>
      </c>
      <c r="Z48" s="170">
        <v>16665.741011080001</v>
      </c>
      <c r="AA48" s="170">
        <v>21094.07125601</v>
      </c>
      <c r="AB48" s="170">
        <v>21094.97079082</v>
      </c>
      <c r="AC48" s="170">
        <v>23500.977830970001</v>
      </c>
    </row>
    <row r="49" spans="1:29" s="130" customFormat="1" ht="16.5" customHeight="1">
      <c r="A49" s="129" t="s">
        <v>419</v>
      </c>
      <c r="B49" s="170">
        <v>2775.4667248799997</v>
      </c>
      <c r="C49" s="170">
        <v>2459.8136503700002</v>
      </c>
      <c r="D49" s="170">
        <v>2341.5116570599998</v>
      </c>
      <c r="E49" s="170">
        <v>2769.6834046569002</v>
      </c>
      <c r="F49" s="170">
        <v>3108.3863636400001</v>
      </c>
      <c r="G49" s="170">
        <v>3643.6391772746001</v>
      </c>
      <c r="H49" s="170">
        <v>3985.6310193371005</v>
      </c>
      <c r="I49" s="170">
        <v>4807.0546112633992</v>
      </c>
      <c r="J49" s="170">
        <v>5875.1022487320797</v>
      </c>
      <c r="K49" s="170">
        <v>6926.519799317899</v>
      </c>
      <c r="L49" s="170">
        <v>7089.0710674700003</v>
      </c>
      <c r="M49" s="170">
        <v>8776.3622793400009</v>
      </c>
      <c r="N49" s="170">
        <v>9588.9252449800006</v>
      </c>
      <c r="O49" s="170">
        <v>11049.16013448</v>
      </c>
      <c r="P49" s="170">
        <v>13115.47947147</v>
      </c>
      <c r="Q49" s="170">
        <v>14775.013561010001</v>
      </c>
      <c r="R49" s="170">
        <v>16562.189238809999</v>
      </c>
      <c r="S49" s="170">
        <v>18300.669108959999</v>
      </c>
      <c r="T49" s="170">
        <v>19084.09752856</v>
      </c>
      <c r="U49" s="170">
        <v>19519.399436749994</v>
      </c>
      <c r="V49" s="170">
        <v>20091.700914950001</v>
      </c>
      <c r="W49" s="170">
        <v>22047.584664959995</v>
      </c>
      <c r="X49" s="170">
        <v>22104.574234860003</v>
      </c>
      <c r="Y49" s="170">
        <v>21260.857476879999</v>
      </c>
      <c r="Z49" s="170">
        <v>24021.630645729998</v>
      </c>
      <c r="AA49" s="170">
        <v>27291.66103866</v>
      </c>
      <c r="AB49" s="170">
        <v>30797.51671023</v>
      </c>
      <c r="AC49" s="170">
        <v>33078.177306969999</v>
      </c>
    </row>
    <row r="50" spans="1:29" s="130" customFormat="1" ht="16.5" customHeight="1">
      <c r="A50" s="129" t="s">
        <v>420</v>
      </c>
      <c r="B50" s="170">
        <v>0</v>
      </c>
      <c r="C50" s="170">
        <v>0</v>
      </c>
      <c r="D50" s="170">
        <v>0</v>
      </c>
      <c r="E50" s="170">
        <v>0</v>
      </c>
      <c r="F50" s="170">
        <v>0</v>
      </c>
      <c r="G50" s="170">
        <v>0</v>
      </c>
      <c r="H50" s="170">
        <v>0</v>
      </c>
      <c r="I50" s="170">
        <v>0</v>
      </c>
      <c r="J50" s="170">
        <v>0</v>
      </c>
      <c r="K50" s="170">
        <v>0</v>
      </c>
      <c r="L50" s="170">
        <v>0</v>
      </c>
      <c r="M50" s="170">
        <v>0</v>
      </c>
      <c r="N50" s="170">
        <v>0</v>
      </c>
      <c r="O50" s="170">
        <v>0</v>
      </c>
      <c r="P50" s="170">
        <v>0</v>
      </c>
      <c r="Q50" s="170">
        <v>2428.6614098599998</v>
      </c>
      <c r="R50" s="170">
        <v>3629.4240757000007</v>
      </c>
      <c r="S50" s="170">
        <v>4037.5237447600002</v>
      </c>
      <c r="T50" s="170">
        <v>4793.1529379299991</v>
      </c>
      <c r="U50" s="170">
        <v>5624.1128878</v>
      </c>
      <c r="V50" s="170">
        <v>5207.9944730999996</v>
      </c>
      <c r="W50" s="170">
        <v>5029.8981349700007</v>
      </c>
      <c r="X50" s="170">
        <v>5296.9225319999987</v>
      </c>
      <c r="Y50" s="170">
        <v>35.811581000000004</v>
      </c>
      <c r="Z50" s="170">
        <v>31.673050109999998</v>
      </c>
      <c r="AA50" s="170">
        <v>87.323755219999995</v>
      </c>
      <c r="AB50" s="170">
        <v>102.31762000000001</v>
      </c>
      <c r="AC50" s="170">
        <v>94.069197000000003</v>
      </c>
    </row>
    <row r="51" spans="1:29" s="130" customFormat="1" ht="16.5" customHeight="1">
      <c r="A51" s="129" t="s">
        <v>421</v>
      </c>
      <c r="B51" s="170">
        <v>7373.8825818600053</v>
      </c>
      <c r="C51" s="170">
        <v>10796.090032172999</v>
      </c>
      <c r="D51" s="170">
        <v>6707.4179434750877</v>
      </c>
      <c r="E51" s="170">
        <v>6606.7090263960099</v>
      </c>
      <c r="F51" s="170">
        <v>4775.5616288394231</v>
      </c>
      <c r="G51" s="170">
        <v>3621.7186644813455</v>
      </c>
      <c r="H51" s="170">
        <v>3109.4848552709882</v>
      </c>
      <c r="I51" s="170">
        <v>8143.2205480199855</v>
      </c>
      <c r="J51" s="170">
        <v>10103.883485647521</v>
      </c>
      <c r="K51" s="170">
        <v>12686.734602397997</v>
      </c>
      <c r="L51" s="170">
        <v>13607.853687594956</v>
      </c>
      <c r="M51" s="170">
        <v>16667.753365099972</v>
      </c>
      <c r="N51" s="170">
        <v>23622.887048369954</v>
      </c>
      <c r="O51" s="170">
        <v>96416.657379217009</v>
      </c>
      <c r="P51" s="170">
        <v>24294.89072646698</v>
      </c>
      <c r="Q51" s="170">
        <v>39388.665326739967</v>
      </c>
      <c r="R51" s="170">
        <v>32463.787088530047</v>
      </c>
      <c r="S51" s="170">
        <v>32860.644714579881</v>
      </c>
      <c r="T51" s="170">
        <v>36544.748159850002</v>
      </c>
      <c r="U51" s="170">
        <v>38320.21022732932</v>
      </c>
      <c r="V51" s="170">
        <v>48555.744156417</v>
      </c>
      <c r="W51" s="170">
        <v>47656.008225447003</v>
      </c>
      <c r="X51" s="170">
        <v>40184.375849459982</v>
      </c>
      <c r="Y51" s="170">
        <v>40749.988282400001</v>
      </c>
      <c r="Z51" s="170">
        <v>68775.514585360012</v>
      </c>
      <c r="AA51" s="170">
        <v>55561.934043739995</v>
      </c>
      <c r="AB51" s="170">
        <v>80495.139570020008</v>
      </c>
      <c r="AC51" s="170">
        <v>65378.89656530002</v>
      </c>
    </row>
    <row r="52" spans="1:29" s="130" customFormat="1" ht="16.5" customHeight="1">
      <c r="A52" s="123" t="s">
        <v>422</v>
      </c>
      <c r="B52" s="170">
        <v>0</v>
      </c>
      <c r="C52" s="170">
        <v>0</v>
      </c>
      <c r="D52" s="170">
        <v>0</v>
      </c>
      <c r="E52" s="170">
        <v>0</v>
      </c>
      <c r="F52" s="170">
        <v>0</v>
      </c>
      <c r="G52" s="170">
        <v>0</v>
      </c>
      <c r="H52" s="170">
        <v>0</v>
      </c>
      <c r="I52" s="170">
        <v>0</v>
      </c>
      <c r="J52" s="170">
        <v>0</v>
      </c>
      <c r="K52" s="170">
        <v>0</v>
      </c>
      <c r="L52" s="170">
        <v>0</v>
      </c>
      <c r="M52" s="170">
        <v>0</v>
      </c>
      <c r="N52" s="170">
        <v>0</v>
      </c>
      <c r="O52" s="170">
        <v>74807.616407000009</v>
      </c>
      <c r="P52" s="170">
        <v>0</v>
      </c>
      <c r="Q52" s="170">
        <v>12400</v>
      </c>
      <c r="R52" s="170">
        <v>0</v>
      </c>
      <c r="S52" s="170">
        <v>0</v>
      </c>
      <c r="T52" s="170">
        <v>855</v>
      </c>
      <c r="U52" s="170">
        <v>770.99258750999991</v>
      </c>
      <c r="V52" s="170">
        <v>1127.35261801</v>
      </c>
      <c r="W52" s="170">
        <v>5156.5459917799999</v>
      </c>
      <c r="X52" s="170">
        <v>1151.53362137</v>
      </c>
      <c r="Y52" s="170">
        <v>1381.8953107799998</v>
      </c>
      <c r="Z52" s="170">
        <v>0</v>
      </c>
      <c r="AA52" s="170">
        <v>0</v>
      </c>
      <c r="AB52" s="170">
        <v>0</v>
      </c>
      <c r="AC52" s="170">
        <v>0</v>
      </c>
    </row>
    <row r="53" spans="1:29" s="133" customFormat="1" ht="18.75" thickBot="1">
      <c r="A53" s="131" t="s">
        <v>423</v>
      </c>
      <c r="B53" s="171">
        <v>24243.621361471236</v>
      </c>
      <c r="C53" s="171">
        <v>27156.30802054167</v>
      </c>
      <c r="D53" s="171">
        <v>30539.428331422852</v>
      </c>
      <c r="E53" s="171">
        <v>36697.659843306676</v>
      </c>
      <c r="F53" s="171">
        <v>43060.901363139848</v>
      </c>
      <c r="G53" s="171">
        <v>52018.182811508377</v>
      </c>
      <c r="H53" s="171">
        <v>56929.090693392332</v>
      </c>
      <c r="I53" s="171">
        <v>64041.205378603845</v>
      </c>
      <c r="J53" s="171">
        <v>80223.53453705195</v>
      </c>
      <c r="K53" s="171">
        <v>90323.383566929711</v>
      </c>
      <c r="L53" s="171">
        <v>101916.67235134661</v>
      </c>
      <c r="M53" s="171">
        <v>127359.01189529506</v>
      </c>
      <c r="N53" s="171">
        <v>119679.07270701096</v>
      </c>
      <c r="O53" s="171">
        <v>133370.28905174482</v>
      </c>
      <c r="P53" s="171">
        <v>163035.66907687392</v>
      </c>
      <c r="Q53" s="171">
        <v>171394.43783466215</v>
      </c>
      <c r="R53" s="171">
        <v>181894.96092318106</v>
      </c>
      <c r="S53" s="171">
        <v>198461.50016794031</v>
      </c>
      <c r="T53" s="171">
        <v>204684.25719552115</v>
      </c>
      <c r="U53" s="171">
        <v>226835.31140796465</v>
      </c>
      <c r="V53" s="171">
        <v>228335.34127365967</v>
      </c>
      <c r="W53" s="171">
        <v>256723.66815739695</v>
      </c>
      <c r="X53" s="171">
        <v>288330.76398146304</v>
      </c>
      <c r="Y53" s="171">
        <v>263798.04789752158</v>
      </c>
      <c r="Z53" s="171">
        <v>353546.83491181507</v>
      </c>
      <c r="AA53" s="171">
        <v>457203.87293137616</v>
      </c>
      <c r="AB53" s="171">
        <v>452009.08628278715</v>
      </c>
      <c r="AC53" s="171">
        <v>517654.00423513947</v>
      </c>
    </row>
    <row r="54" spans="1:29" s="134" customFormat="1" ht="16.5" customHeight="1">
      <c r="A54" s="120" t="s">
        <v>424</v>
      </c>
      <c r="B54" s="169">
        <v>21800.585501609999</v>
      </c>
      <c r="C54" s="169">
        <v>24762.391607810001</v>
      </c>
      <c r="D54" s="169">
        <v>27402.997904810007</v>
      </c>
      <c r="E54" s="169">
        <v>31151.647467690003</v>
      </c>
      <c r="F54" s="169">
        <v>36415.438652730001</v>
      </c>
      <c r="G54" s="169">
        <v>44596.328657479993</v>
      </c>
      <c r="H54" s="169">
        <v>46243.40841362701</v>
      </c>
      <c r="I54" s="169">
        <v>51138.740009470013</v>
      </c>
      <c r="J54" s="169">
        <v>63755.644648779999</v>
      </c>
      <c r="K54" s="169">
        <v>70627.72133094001</v>
      </c>
      <c r="L54" s="169">
        <v>82238.976027319994</v>
      </c>
      <c r="M54" s="169">
        <v>101880.60799578</v>
      </c>
      <c r="N54" s="169">
        <v>97560.565788680004</v>
      </c>
      <c r="O54" s="169">
        <v>105744.35726107999</v>
      </c>
      <c r="P54" s="169">
        <v>130171.80741089</v>
      </c>
      <c r="Q54" s="169">
        <v>133911.81625728999</v>
      </c>
      <c r="R54" s="169">
        <v>143921.40139146999</v>
      </c>
      <c r="S54" s="169">
        <v>156822.95669531991</v>
      </c>
      <c r="T54" s="169">
        <v>165695.19180397</v>
      </c>
      <c r="U54" s="169">
        <v>189849.15026339999</v>
      </c>
      <c r="V54" s="169">
        <v>183122.96298181999</v>
      </c>
      <c r="W54" s="169">
        <v>196629.8279257</v>
      </c>
      <c r="X54" s="169">
        <v>213592.6855924</v>
      </c>
      <c r="Y54" s="169">
        <v>204616.85762319001</v>
      </c>
      <c r="Z54" s="169">
        <v>274865.18418216001</v>
      </c>
      <c r="AA54" s="169">
        <v>341926.68618864997</v>
      </c>
      <c r="AB54" s="169">
        <v>353288.16675653006</v>
      </c>
      <c r="AC54" s="169">
        <v>411979.91660037998</v>
      </c>
    </row>
    <row r="55" spans="1:29" s="134" customFormat="1" ht="16.5" customHeight="1">
      <c r="A55" s="120" t="s">
        <v>425</v>
      </c>
      <c r="B55" s="169">
        <v>908.73817599523693</v>
      </c>
      <c r="C55" s="169">
        <v>876.077</v>
      </c>
      <c r="D55" s="169">
        <v>716.65032490285671</v>
      </c>
      <c r="E55" s="169">
        <v>736.2700850366723</v>
      </c>
      <c r="F55" s="169">
        <v>1070.181831351138</v>
      </c>
      <c r="G55" s="169">
        <v>262.44037956837667</v>
      </c>
      <c r="H55" s="169">
        <v>938.82080124532592</v>
      </c>
      <c r="I55" s="169">
        <v>1264.5905871938385</v>
      </c>
      <c r="J55" s="169">
        <v>1478.5691779019489</v>
      </c>
      <c r="K55" s="169">
        <v>2207.0027650097036</v>
      </c>
      <c r="L55" s="169">
        <v>2218.371635446626</v>
      </c>
      <c r="M55" s="169">
        <v>2673.9681172450573</v>
      </c>
      <c r="N55" s="169">
        <v>2833.0082898989385</v>
      </c>
      <c r="O55" s="169">
        <v>3261.8889204748389</v>
      </c>
      <c r="P55" s="169">
        <v>3781.2671913539211</v>
      </c>
      <c r="Q55" s="169">
        <v>4289.8017317004487</v>
      </c>
      <c r="R55" s="169">
        <v>4630.6878302110554</v>
      </c>
      <c r="S55" s="169">
        <v>4555.7473966704383</v>
      </c>
      <c r="T55" s="169">
        <v>6113.4094178231626</v>
      </c>
      <c r="U55" s="169">
        <v>7530.0874614546383</v>
      </c>
      <c r="V55" s="169">
        <v>7838.6334704196888</v>
      </c>
      <c r="W55" s="169">
        <v>8470.0777115969795</v>
      </c>
      <c r="X55" s="169">
        <v>9609.224273727601</v>
      </c>
      <c r="Y55" s="169">
        <v>8553.2398231816242</v>
      </c>
      <c r="Z55" s="169">
        <v>5815.3696432850711</v>
      </c>
      <c r="AA55" s="169">
        <v>10077.60296628618</v>
      </c>
      <c r="AB55" s="169">
        <v>11391.268061707178</v>
      </c>
      <c r="AC55" s="169">
        <v>12944.545890209489</v>
      </c>
    </row>
    <row r="56" spans="1:29" s="134" customFormat="1" ht="16.5" customHeight="1">
      <c r="A56" s="125" t="s">
        <v>426</v>
      </c>
      <c r="B56" s="170">
        <v>0</v>
      </c>
      <c r="C56" s="170">
        <v>0</v>
      </c>
      <c r="D56" s="170">
        <v>1672.4510249028567</v>
      </c>
      <c r="E56" s="170">
        <v>1949.02748963</v>
      </c>
      <c r="F56" s="170">
        <v>2398.20648218</v>
      </c>
      <c r="G56" s="170">
        <v>2825.5004699599999</v>
      </c>
      <c r="H56" s="170">
        <v>2985.8514476499995</v>
      </c>
      <c r="I56" s="170">
        <v>3477.1990061100005</v>
      </c>
      <c r="J56" s="170">
        <v>4180.054899589999</v>
      </c>
      <c r="K56" s="170">
        <v>4626.1412362000001</v>
      </c>
      <c r="L56" s="170">
        <v>5359.2926322000003</v>
      </c>
      <c r="M56" s="170">
        <v>6345.4450054219706</v>
      </c>
      <c r="N56" s="170">
        <v>6285.9438940999999</v>
      </c>
      <c r="O56" s="170">
        <v>6835.6455681999987</v>
      </c>
      <c r="P56" s="170">
        <v>8384.2948754600002</v>
      </c>
      <c r="Q56" s="170">
        <v>8640.6366467799999</v>
      </c>
      <c r="R56" s="170">
        <v>9301.566386890001</v>
      </c>
      <c r="S56" s="170">
        <v>10131.30658079</v>
      </c>
      <c r="T56" s="170">
        <v>10657.970523219999</v>
      </c>
      <c r="U56" s="170">
        <v>12193.741503950001</v>
      </c>
      <c r="V56" s="170">
        <v>11598.86312851</v>
      </c>
      <c r="W56" s="170">
        <v>12467.578036719999</v>
      </c>
      <c r="X56" s="170">
        <v>13595.92410966</v>
      </c>
      <c r="Y56" s="170">
        <v>12980.622512830001</v>
      </c>
      <c r="Z56" s="170">
        <v>16221.257422379998</v>
      </c>
      <c r="AA56" s="170">
        <v>23156.393044479999</v>
      </c>
      <c r="AB56" s="170">
        <v>22545.053801239996</v>
      </c>
      <c r="AC56" s="170">
        <v>25841.65433677</v>
      </c>
    </row>
    <row r="57" spans="1:29" s="134" customFormat="1" ht="16.5" customHeight="1">
      <c r="A57" s="125" t="s">
        <v>427</v>
      </c>
      <c r="B57" s="170">
        <v>0</v>
      </c>
      <c r="C57" s="170">
        <v>0</v>
      </c>
      <c r="D57" s="170">
        <v>-955.80069999999978</v>
      </c>
      <c r="E57" s="170">
        <v>-1212.7574045933277</v>
      </c>
      <c r="F57" s="170">
        <v>-1328.0246508288621</v>
      </c>
      <c r="G57" s="170">
        <v>-2563.0600903916238</v>
      </c>
      <c r="H57" s="170">
        <v>-2047.0306464046741</v>
      </c>
      <c r="I57" s="170">
        <v>-2212.608418916162</v>
      </c>
      <c r="J57" s="170">
        <v>-2701.4857216880509</v>
      </c>
      <c r="K57" s="170">
        <v>-2419.1384711902965</v>
      </c>
      <c r="L57" s="170">
        <v>-3140.9209967533748</v>
      </c>
      <c r="M57" s="170">
        <v>-3671.4768881769119</v>
      </c>
      <c r="N57" s="170">
        <v>-3452.9356042010613</v>
      </c>
      <c r="O57" s="170">
        <v>-3573.7566477251617</v>
      </c>
      <c r="P57" s="170">
        <v>-4603.0276841060786</v>
      </c>
      <c r="Q57" s="170">
        <v>-4350.834915079552</v>
      </c>
      <c r="R57" s="170">
        <v>-4670.8785566789456</v>
      </c>
      <c r="S57" s="170">
        <v>-5575.559184119561</v>
      </c>
      <c r="T57" s="170">
        <v>-4544.5611053968378</v>
      </c>
      <c r="U57" s="170">
        <v>-4663.6540424953619</v>
      </c>
      <c r="V57" s="170">
        <v>-3760.2296580903112</v>
      </c>
      <c r="W57" s="170">
        <v>-3997.50032512302</v>
      </c>
      <c r="X57" s="170">
        <v>-3986.6998359323984</v>
      </c>
      <c r="Y57" s="170">
        <v>-4427.3826896483761</v>
      </c>
      <c r="Z57" s="170">
        <v>-10405.88777909493</v>
      </c>
      <c r="AA57" s="170">
        <v>-13078.790078193819</v>
      </c>
      <c r="AB57" s="170">
        <v>-11153.785739532821</v>
      </c>
      <c r="AC57" s="170">
        <v>-12897.108446560509</v>
      </c>
    </row>
    <row r="58" spans="1:29" s="134" customFormat="1" ht="16.5" customHeight="1">
      <c r="A58" s="120" t="s">
        <v>428</v>
      </c>
      <c r="B58" s="169">
        <v>1480.2489199360009</v>
      </c>
      <c r="C58" s="169">
        <v>1311.9006135306674</v>
      </c>
      <c r="D58" s="169">
        <v>1255.077</v>
      </c>
      <c r="E58" s="169">
        <v>1724.7729999999999</v>
      </c>
      <c r="F58" s="169">
        <v>2004.1544573786998</v>
      </c>
      <c r="G58" s="169">
        <v>2340.0059549999996</v>
      </c>
      <c r="H58" s="169">
        <v>2603.25630258</v>
      </c>
      <c r="I58" s="169">
        <v>2875.1696056400006</v>
      </c>
      <c r="J58" s="169">
        <v>3440.0298315300001</v>
      </c>
      <c r="K58" s="169">
        <v>4037.0153883799994</v>
      </c>
      <c r="L58" s="169">
        <v>4537.2412672199998</v>
      </c>
      <c r="M58" s="169">
        <v>5172.9361689000007</v>
      </c>
      <c r="N58" s="169">
        <v>5740.1366032420001</v>
      </c>
      <c r="O58" s="169">
        <v>6553.710085140001</v>
      </c>
      <c r="P58" s="169">
        <v>7770.7480482799992</v>
      </c>
      <c r="Q58" s="169">
        <v>8787.7199363616892</v>
      </c>
      <c r="R58" s="169">
        <v>9044.1121482899998</v>
      </c>
      <c r="S58" s="169">
        <v>10800.80142286</v>
      </c>
      <c r="T58" s="169">
        <v>12355.055367977999</v>
      </c>
      <c r="U58" s="169">
        <v>11685.301490259999</v>
      </c>
      <c r="V58" s="169">
        <v>12018.799347480002</v>
      </c>
      <c r="W58" s="169">
        <v>12758.05410598</v>
      </c>
      <c r="X58" s="169">
        <v>12261.086430380001</v>
      </c>
      <c r="Y58" s="169">
        <v>12621.580659859999</v>
      </c>
      <c r="Z58" s="169">
        <v>14088.566755280002</v>
      </c>
      <c r="AA58" s="169">
        <v>16136.022609739999</v>
      </c>
      <c r="AB58" s="169">
        <v>18161.95310002</v>
      </c>
      <c r="AC58" s="169">
        <v>19571.996350919999</v>
      </c>
    </row>
    <row r="59" spans="1:29" s="134" customFormat="1" ht="16.5" customHeight="1">
      <c r="A59" s="120" t="s">
        <v>429</v>
      </c>
      <c r="B59" s="169">
        <v>0</v>
      </c>
      <c r="C59" s="169">
        <v>68.252850359999996</v>
      </c>
      <c r="D59" s="169">
        <v>726.35291083000004</v>
      </c>
      <c r="E59" s="169">
        <v>1896.5744046499999</v>
      </c>
      <c r="F59" s="169">
        <v>2263.8926607499998</v>
      </c>
      <c r="G59" s="169">
        <v>3364.5216744599998</v>
      </c>
      <c r="H59" s="169">
        <v>5476.0680578800002</v>
      </c>
      <c r="I59" s="169">
        <v>7471.7369583399995</v>
      </c>
      <c r="J59" s="169">
        <v>9570.5799832199991</v>
      </c>
      <c r="K59" s="169">
        <v>11464.930937900001</v>
      </c>
      <c r="L59" s="169">
        <v>10839.7606512</v>
      </c>
      <c r="M59" s="169">
        <v>15795.17981172</v>
      </c>
      <c r="N59" s="169">
        <v>12213.08504856</v>
      </c>
      <c r="O59" s="169">
        <v>15480.894093580002</v>
      </c>
      <c r="P59" s="169">
        <v>18594.310055259997</v>
      </c>
      <c r="Q59" s="169">
        <v>22614.611924840003</v>
      </c>
      <c r="R59" s="169">
        <v>23441.128453870002</v>
      </c>
      <c r="S59" s="169">
        <v>25150.995615139997</v>
      </c>
      <c r="T59" s="169">
        <v>18836.92355499</v>
      </c>
      <c r="U59" s="169">
        <v>15240.74278556</v>
      </c>
      <c r="V59" s="169">
        <v>22184.765148760001</v>
      </c>
      <c r="W59" s="169">
        <v>35970.116669890005</v>
      </c>
      <c r="X59" s="169">
        <v>38782.864401680003</v>
      </c>
      <c r="Y59" s="169">
        <v>35630.63601866</v>
      </c>
      <c r="Z59" s="169">
        <v>56282.487203700002</v>
      </c>
      <c r="AA59" s="169">
        <v>78117.584093609985</v>
      </c>
      <c r="AB59" s="169">
        <v>66010.517039519997</v>
      </c>
      <c r="AC59" s="169">
        <v>68827.649660449999</v>
      </c>
    </row>
    <row r="60" spans="1:29" s="134" customFormat="1" ht="16.5" customHeight="1">
      <c r="A60" s="120" t="s">
        <v>430</v>
      </c>
      <c r="B60" s="169">
        <v>0</v>
      </c>
      <c r="C60" s="169">
        <v>0</v>
      </c>
      <c r="D60" s="169">
        <v>0</v>
      </c>
      <c r="E60" s="169">
        <v>0</v>
      </c>
      <c r="F60" s="169">
        <v>0</v>
      </c>
      <c r="G60" s="169">
        <v>0</v>
      </c>
      <c r="H60" s="169">
        <v>0</v>
      </c>
      <c r="I60" s="169">
        <v>1109.1670781700002</v>
      </c>
      <c r="J60" s="169">
        <v>1776.0539545700001</v>
      </c>
      <c r="K60" s="169">
        <v>1781.32350862</v>
      </c>
      <c r="L60" s="169">
        <v>1850.2479214800001</v>
      </c>
      <c r="M60" s="169">
        <v>1578.87954842</v>
      </c>
      <c r="N60" s="169">
        <v>962.41355125999996</v>
      </c>
      <c r="O60" s="169">
        <v>1775.7266767199999</v>
      </c>
      <c r="P60" s="169">
        <v>2109.7062591500003</v>
      </c>
      <c r="Q60" s="169">
        <v>1117.8824148599999</v>
      </c>
      <c r="R60" s="169">
        <v>57.31916915</v>
      </c>
      <c r="S60" s="169">
        <v>116.082503</v>
      </c>
      <c r="T60" s="169">
        <v>447.95837442999999</v>
      </c>
      <c r="U60" s="169">
        <v>1239.2812874899998</v>
      </c>
      <c r="V60" s="169">
        <v>1698.7142459000002</v>
      </c>
      <c r="W60" s="169">
        <v>1356.7614281300002</v>
      </c>
      <c r="X60" s="169">
        <v>820.83511703549993</v>
      </c>
      <c r="Y60" s="169">
        <v>690.04593245000001</v>
      </c>
      <c r="Z60" s="169">
        <v>443.96791608000001</v>
      </c>
      <c r="AA60" s="169">
        <v>690.83553847000007</v>
      </c>
      <c r="AB60" s="169">
        <v>139.27691364</v>
      </c>
      <c r="AC60" s="169">
        <v>979.20462685999996</v>
      </c>
    </row>
    <row r="61" spans="1:29" s="134" customFormat="1" ht="16.5" customHeight="1">
      <c r="A61" s="120" t="s">
        <v>431</v>
      </c>
      <c r="B61" s="169">
        <v>54.048763929998799</v>
      </c>
      <c r="C61" s="169">
        <v>137.68594884100196</v>
      </c>
      <c r="D61" s="169">
        <v>438.35019088000001</v>
      </c>
      <c r="E61" s="169">
        <v>1188.3948859299999</v>
      </c>
      <c r="F61" s="169">
        <v>1307.2337609299998</v>
      </c>
      <c r="G61" s="169">
        <v>1454.8861450000004</v>
      </c>
      <c r="H61" s="169">
        <v>1667.53711806</v>
      </c>
      <c r="I61" s="169">
        <v>181.80113978999995</v>
      </c>
      <c r="J61" s="169">
        <v>202.65694104999997</v>
      </c>
      <c r="K61" s="169">
        <v>205.38963608</v>
      </c>
      <c r="L61" s="169">
        <v>232.07484868000003</v>
      </c>
      <c r="M61" s="169">
        <v>257.44025323</v>
      </c>
      <c r="N61" s="169">
        <v>369.86342537000002</v>
      </c>
      <c r="O61" s="169">
        <v>553.71201474999998</v>
      </c>
      <c r="P61" s="169">
        <v>607.83011194000005</v>
      </c>
      <c r="Q61" s="169">
        <v>672.60556960999998</v>
      </c>
      <c r="R61" s="169">
        <v>800.31193019</v>
      </c>
      <c r="S61" s="169">
        <v>1014.9165349499998</v>
      </c>
      <c r="T61" s="169">
        <v>1235.7186763300001</v>
      </c>
      <c r="U61" s="169">
        <v>1290.7481198</v>
      </c>
      <c r="V61" s="169">
        <v>1471.4660792799998</v>
      </c>
      <c r="W61" s="169">
        <v>1538.8303161000001</v>
      </c>
      <c r="X61" s="169">
        <v>13264.06816624</v>
      </c>
      <c r="Y61" s="169">
        <v>1685.68784018</v>
      </c>
      <c r="Z61" s="169">
        <v>2051.25921131</v>
      </c>
      <c r="AA61" s="169">
        <v>10255.141534619999</v>
      </c>
      <c r="AB61" s="169">
        <v>3017.9044113700002</v>
      </c>
      <c r="AC61" s="169">
        <v>3350.69110632</v>
      </c>
    </row>
    <row r="62" spans="1:29" s="133" customFormat="1" ht="16.5" thickBot="1">
      <c r="A62" s="131" t="s">
        <v>432</v>
      </c>
      <c r="B62" s="171">
        <v>134768.75378574876</v>
      </c>
      <c r="C62" s="171">
        <v>156359.89619729234</v>
      </c>
      <c r="D62" s="171">
        <v>178844.1024397072</v>
      </c>
      <c r="E62" s="171">
        <v>198354.26661704923</v>
      </c>
      <c r="F62" s="171">
        <v>227380.27977520914</v>
      </c>
      <c r="G62" s="171">
        <v>268038.27204801259</v>
      </c>
      <c r="H62" s="171">
        <v>299202.44418330776</v>
      </c>
      <c r="I62" s="171">
        <v>354952.08377838961</v>
      </c>
      <c r="J62" s="171">
        <v>407598.54636697762</v>
      </c>
      <c r="K62" s="171">
        <v>452486.62184339622</v>
      </c>
      <c r="L62" s="171">
        <v>516435.43610904738</v>
      </c>
      <c r="M62" s="171">
        <v>588256.88339534507</v>
      </c>
      <c r="N62" s="171">
        <v>618445.87324296904</v>
      </c>
      <c r="O62" s="171">
        <v>785161.08044448204</v>
      </c>
      <c r="P62" s="171">
        <v>825234.4075800461</v>
      </c>
      <c r="Q62" s="171">
        <v>900894.98159607686</v>
      </c>
      <c r="R62" s="171">
        <v>997088.27766188898</v>
      </c>
      <c r="S62" s="171">
        <v>1023012.6321729795</v>
      </c>
      <c r="T62" s="171">
        <v>1044419.4290185389</v>
      </c>
      <c r="U62" s="171">
        <v>1089149.9572236717</v>
      </c>
      <c r="V62" s="171">
        <v>1155317.8056079894</v>
      </c>
      <c r="W62" s="171">
        <v>1232275.5381253171</v>
      </c>
      <c r="X62" s="171">
        <v>1347277.0982485667</v>
      </c>
      <c r="Y62" s="171">
        <v>1204298.0893329782</v>
      </c>
      <c r="Z62" s="171">
        <v>1579102.8447109247</v>
      </c>
      <c r="AA62" s="171">
        <v>1856101.5529106539</v>
      </c>
      <c r="AB62" s="171">
        <v>1901423.1567457127</v>
      </c>
      <c r="AC62" s="171">
        <v>2161787.6020303709</v>
      </c>
    </row>
    <row r="63" spans="1:29" s="133" customFormat="1" ht="18.75" thickBot="1">
      <c r="A63" s="118" t="s">
        <v>433</v>
      </c>
      <c r="B63" s="168">
        <v>132968.00152194535</v>
      </c>
      <c r="C63" s="168">
        <v>148782.87854138151</v>
      </c>
      <c r="D63" s="168">
        <v>158679.80940034002</v>
      </c>
      <c r="E63" s="168">
        <v>177372.06250843001</v>
      </c>
      <c r="F63" s="168">
        <v>205643.17946561784</v>
      </c>
      <c r="G63" s="168">
        <v>236461.06742889402</v>
      </c>
      <c r="H63" s="168">
        <v>260122.39577347832</v>
      </c>
      <c r="I63" s="168">
        <v>305610.65847150999</v>
      </c>
      <c r="J63" s="168">
        <v>354925.37863825954</v>
      </c>
      <c r="K63" s="168">
        <v>403738.39180313505</v>
      </c>
      <c r="L63" s="168">
        <v>458785.04724184639</v>
      </c>
      <c r="M63" s="168">
        <v>516818.49425449455</v>
      </c>
      <c r="N63" s="168">
        <v>579009.45437985426</v>
      </c>
      <c r="O63" s="168">
        <v>707269.91150293278</v>
      </c>
      <c r="P63" s="168">
        <v>733343.37671926571</v>
      </c>
      <c r="Q63" s="168">
        <v>815907.01534807752</v>
      </c>
      <c r="R63" s="168">
        <v>924929.13275014597</v>
      </c>
      <c r="S63" s="168">
        <v>1046495.03558552</v>
      </c>
      <c r="T63" s="168">
        <v>1164921.6555464705</v>
      </c>
      <c r="U63" s="168">
        <v>1250425.582139611</v>
      </c>
      <c r="V63" s="168">
        <v>1279579.2922426511</v>
      </c>
      <c r="W63" s="168">
        <v>1352496.8205198538</v>
      </c>
      <c r="X63" s="168">
        <v>1442341.8449397744</v>
      </c>
      <c r="Y63" s="168">
        <v>1947552.9069374381</v>
      </c>
      <c r="Z63" s="168">
        <v>1614170.7792012165</v>
      </c>
      <c r="AA63" s="168">
        <v>1809693.0913005164</v>
      </c>
      <c r="AB63" s="168">
        <v>2129922.5380383665</v>
      </c>
      <c r="AC63" s="168">
        <v>2204711.2935709367</v>
      </c>
    </row>
    <row r="64" spans="1:29" s="134" customFormat="1" ht="16.5" customHeight="1">
      <c r="A64" s="120" t="s">
        <v>434</v>
      </c>
      <c r="B64" s="169">
        <v>47050.464152651351</v>
      </c>
      <c r="C64" s="169">
        <v>53375.650473096161</v>
      </c>
      <c r="D64" s="169">
        <v>58540.022972999992</v>
      </c>
      <c r="E64" s="169">
        <v>65787.079641690012</v>
      </c>
      <c r="F64" s="169">
        <v>75328.106397249998</v>
      </c>
      <c r="G64" s="169">
        <v>88026.658966770017</v>
      </c>
      <c r="H64" s="169">
        <v>107134.80524463</v>
      </c>
      <c r="I64" s="169">
        <v>125750.76427088999</v>
      </c>
      <c r="J64" s="169">
        <v>146010.12951515001</v>
      </c>
      <c r="K64" s="169">
        <v>165585.29985489001</v>
      </c>
      <c r="L64" s="169">
        <v>185293.44094160997</v>
      </c>
      <c r="M64" s="169">
        <v>199562.01244600999</v>
      </c>
      <c r="N64" s="169">
        <v>224876.36602006992</v>
      </c>
      <c r="O64" s="169">
        <v>254858.55438471999</v>
      </c>
      <c r="P64" s="169">
        <v>281438.21954436996</v>
      </c>
      <c r="Q64" s="169">
        <v>316589.50754773995</v>
      </c>
      <c r="R64" s="169">
        <v>357003.12360344979</v>
      </c>
      <c r="S64" s="169">
        <v>394201.2487127537</v>
      </c>
      <c r="T64" s="169">
        <v>436090.09994438</v>
      </c>
      <c r="U64" s="169">
        <v>507871.27620946994</v>
      </c>
      <c r="V64" s="169">
        <v>557234.82732310006</v>
      </c>
      <c r="W64" s="169">
        <v>586378.75188442005</v>
      </c>
      <c r="X64" s="169">
        <v>626510.37506631005</v>
      </c>
      <c r="Y64" s="169">
        <v>663904.39250697999</v>
      </c>
      <c r="Z64" s="169">
        <v>709582.50128780003</v>
      </c>
      <c r="AA64" s="169">
        <v>796976.55675150012</v>
      </c>
      <c r="AB64" s="169">
        <v>898872.91217567993</v>
      </c>
      <c r="AC64" s="169">
        <v>938544.53726422018</v>
      </c>
    </row>
    <row r="65" spans="1:29" s="134" customFormat="1" ht="16.5" customHeight="1">
      <c r="A65" s="135" t="s">
        <v>435</v>
      </c>
      <c r="B65" s="170">
        <v>0</v>
      </c>
      <c r="C65" s="170">
        <v>0</v>
      </c>
      <c r="D65" s="170">
        <v>0</v>
      </c>
      <c r="E65" s="170">
        <v>0</v>
      </c>
      <c r="F65" s="170">
        <v>60727.157494190265</v>
      </c>
      <c r="G65" s="170">
        <v>70985.032038468024</v>
      </c>
      <c r="H65" s="170">
        <v>86574.864527311409</v>
      </c>
      <c r="I65" s="170">
        <v>102499.21685293705</v>
      </c>
      <c r="J65" s="170">
        <v>118690.169092945</v>
      </c>
      <c r="K65" s="170">
        <v>133301.18062562565</v>
      </c>
      <c r="L65" s="170">
        <v>148715.02223244487</v>
      </c>
      <c r="M65" s="170">
        <v>159652.05253944674</v>
      </c>
      <c r="N65" s="170">
        <v>175831.77929253827</v>
      </c>
      <c r="O65" s="170">
        <v>198769.48115560241</v>
      </c>
      <c r="P65" s="170">
        <v>220003.3435346456</v>
      </c>
      <c r="Q65" s="170">
        <v>245454.15013778527</v>
      </c>
      <c r="R65" s="170">
        <v>276648.61810389027</v>
      </c>
      <c r="S65" s="170">
        <v>305498.68831605389</v>
      </c>
      <c r="T65" s="170">
        <v>338049.33454363392</v>
      </c>
      <c r="U65" s="170">
        <v>396560.9925686249</v>
      </c>
      <c r="V65" s="170">
        <v>437194.33388362004</v>
      </c>
      <c r="W65" s="170">
        <v>462650.01970741851</v>
      </c>
      <c r="X65" s="170">
        <v>496442.77706088137</v>
      </c>
      <c r="Y65" s="170">
        <v>529172.77574198076</v>
      </c>
      <c r="Z65" s="170">
        <v>564041.70672853058</v>
      </c>
      <c r="AA65" s="170">
        <v>633732.62771091331</v>
      </c>
      <c r="AB65" s="170">
        <v>713096.50136026519</v>
      </c>
      <c r="AC65" s="170">
        <v>741616.57584676577</v>
      </c>
    </row>
    <row r="66" spans="1:29" s="134" customFormat="1" ht="16.5" customHeight="1">
      <c r="A66" s="136" t="s">
        <v>436</v>
      </c>
      <c r="B66" s="170">
        <v>0</v>
      </c>
      <c r="C66" s="170">
        <v>0</v>
      </c>
      <c r="D66" s="170">
        <v>0</v>
      </c>
      <c r="E66" s="170">
        <v>0</v>
      </c>
      <c r="F66" s="170">
        <v>0</v>
      </c>
      <c r="G66" s="170">
        <v>0</v>
      </c>
      <c r="H66" s="170">
        <v>0</v>
      </c>
      <c r="I66" s="170">
        <v>0</v>
      </c>
      <c r="J66" s="170">
        <v>0</v>
      </c>
      <c r="K66" s="170">
        <v>0</v>
      </c>
      <c r="L66" s="170">
        <v>0</v>
      </c>
      <c r="M66" s="170">
        <v>0</v>
      </c>
      <c r="N66" s="170">
        <v>5202.8490960249646</v>
      </c>
      <c r="O66" s="170">
        <v>5599.2791975755263</v>
      </c>
      <c r="P66" s="170">
        <v>5612.2997855560043</v>
      </c>
      <c r="Q66" s="170">
        <v>5245.0047416452508</v>
      </c>
      <c r="R66" s="170">
        <v>5678.9057012402855</v>
      </c>
      <c r="S66" s="170">
        <v>7141.2197534809193</v>
      </c>
      <c r="T66" s="170">
        <v>7335.2175337338858</v>
      </c>
      <c r="U66" s="170">
        <v>8945.2315035749034</v>
      </c>
      <c r="V66" s="170">
        <v>10408.65078985</v>
      </c>
      <c r="W66" s="170">
        <v>11902.4275947185</v>
      </c>
      <c r="X66" s="170">
        <v>14427.049403801357</v>
      </c>
      <c r="Y66" s="170">
        <v>15946.216517170742</v>
      </c>
      <c r="Z66" s="170">
        <v>19604.809470620654</v>
      </c>
      <c r="AA66" s="170">
        <v>22180.717254813368</v>
      </c>
      <c r="AB66" s="170">
        <v>44470.627964155181</v>
      </c>
      <c r="AC66" s="170">
        <v>20875.477187955872</v>
      </c>
    </row>
    <row r="67" spans="1:29" s="134" customFormat="1" ht="16.5" customHeight="1">
      <c r="A67" s="135" t="s">
        <v>437</v>
      </c>
      <c r="B67" s="170">
        <v>0</v>
      </c>
      <c r="C67" s="170">
        <v>0</v>
      </c>
      <c r="D67" s="170">
        <v>0</v>
      </c>
      <c r="E67" s="170">
        <v>0</v>
      </c>
      <c r="F67" s="170">
        <v>14600.948903059741</v>
      </c>
      <c r="G67" s="170">
        <v>17041.626928301976</v>
      </c>
      <c r="H67" s="170">
        <v>20559.940717318594</v>
      </c>
      <c r="I67" s="170">
        <v>23251.547417952948</v>
      </c>
      <c r="J67" s="170">
        <v>27319.960422205033</v>
      </c>
      <c r="K67" s="170">
        <v>32284.119229264383</v>
      </c>
      <c r="L67" s="170">
        <v>36578.418709165126</v>
      </c>
      <c r="M67" s="170">
        <v>39909.959906563221</v>
      </c>
      <c r="N67" s="170">
        <v>49044.586727531663</v>
      </c>
      <c r="O67" s="170">
        <v>56089.073229117552</v>
      </c>
      <c r="P67" s="170">
        <v>61434.876009724358</v>
      </c>
      <c r="Q67" s="170">
        <v>71135.35740995474</v>
      </c>
      <c r="R67" s="170">
        <v>80354.505499559556</v>
      </c>
      <c r="S67" s="170">
        <v>88702.560396699773</v>
      </c>
      <c r="T67" s="170">
        <v>98040.765502173905</v>
      </c>
      <c r="U67" s="170">
        <v>111310.26600874511</v>
      </c>
      <c r="V67" s="170">
        <v>120040.49343949</v>
      </c>
      <c r="W67" s="170">
        <v>123728.7321770015</v>
      </c>
      <c r="X67" s="170">
        <v>130067.59800542866</v>
      </c>
      <c r="Y67" s="170">
        <v>134731.61676499926</v>
      </c>
      <c r="Z67" s="170">
        <v>145540.79455926936</v>
      </c>
      <c r="AA67" s="170">
        <v>163243.92904058663</v>
      </c>
      <c r="AB67" s="170">
        <v>185776.4108154148</v>
      </c>
      <c r="AC67" s="170">
        <v>196927.96141745415</v>
      </c>
    </row>
    <row r="68" spans="1:29" s="134" customFormat="1" ht="16.5" customHeight="1">
      <c r="A68" s="137" t="s">
        <v>438</v>
      </c>
      <c r="B68" s="170">
        <v>0</v>
      </c>
      <c r="C68" s="170">
        <v>0</v>
      </c>
      <c r="D68" s="170">
        <v>0</v>
      </c>
      <c r="E68" s="170">
        <v>0</v>
      </c>
      <c r="F68" s="170">
        <v>0</v>
      </c>
      <c r="G68" s="170">
        <v>0</v>
      </c>
      <c r="H68" s="170">
        <v>0</v>
      </c>
      <c r="I68" s="170">
        <v>0</v>
      </c>
      <c r="J68" s="170">
        <v>0</v>
      </c>
      <c r="K68" s="170">
        <v>0</v>
      </c>
      <c r="L68" s="170">
        <v>0</v>
      </c>
      <c r="M68" s="170">
        <v>0</v>
      </c>
      <c r="N68" s="170">
        <v>1303.6251326250419</v>
      </c>
      <c r="O68" s="170">
        <v>1629.7923434644813</v>
      </c>
      <c r="P68" s="170">
        <v>1600.0294373939953</v>
      </c>
      <c r="Q68" s="170">
        <v>1545.5462863647488</v>
      </c>
      <c r="R68" s="170">
        <v>1729.13789532956</v>
      </c>
      <c r="S68" s="170">
        <v>2210.0573443297781</v>
      </c>
      <c r="T68" s="170">
        <v>2286.5163139038964</v>
      </c>
      <c r="U68" s="170">
        <v>2651.5914929150972</v>
      </c>
      <c r="V68" s="170">
        <v>2860.4426258100007</v>
      </c>
      <c r="W68" s="170">
        <v>3216.6682302415038</v>
      </c>
      <c r="X68" s="170">
        <v>3827.3597536486441</v>
      </c>
      <c r="Y68" s="170">
        <v>3920.70820022926</v>
      </c>
      <c r="Z68" s="170">
        <v>5075.4606824193461</v>
      </c>
      <c r="AA68" s="170">
        <v>5764.8066273166341</v>
      </c>
      <c r="AB68" s="170">
        <v>12078.467974524821</v>
      </c>
      <c r="AC68" s="170">
        <v>5624.3883151641257</v>
      </c>
    </row>
    <row r="69" spans="1:29" s="134" customFormat="1" ht="16.5" customHeight="1">
      <c r="A69" s="120" t="s">
        <v>439</v>
      </c>
      <c r="B69" s="169">
        <v>40132.12979068001</v>
      </c>
      <c r="C69" s="169">
        <v>44664.708183639996</v>
      </c>
      <c r="D69" s="169">
        <v>48261.258802230004</v>
      </c>
      <c r="E69" s="169">
        <v>54515.738617350005</v>
      </c>
      <c r="F69" s="169">
        <v>63217.923769579997</v>
      </c>
      <c r="G69" s="169">
        <v>71856.275922150002</v>
      </c>
      <c r="H69" s="169">
        <v>76617.995299210015</v>
      </c>
      <c r="I69" s="169">
        <v>84594.613425160016</v>
      </c>
      <c r="J69" s="169">
        <v>93206.931234430012</v>
      </c>
      <c r="K69" s="169">
        <v>106634.30071949</v>
      </c>
      <c r="L69" s="169">
        <v>117585.73922634238</v>
      </c>
      <c r="M69" s="169">
        <v>132396.68643885999</v>
      </c>
      <c r="N69" s="169">
        <v>153403.64169386</v>
      </c>
      <c r="O69" s="169">
        <v>168404.68505739002</v>
      </c>
      <c r="P69" s="169">
        <v>181439.49653964001</v>
      </c>
      <c r="Q69" s="169">
        <v>188394.48391232002</v>
      </c>
      <c r="R69" s="169">
        <v>205152.91340865</v>
      </c>
      <c r="S69" s="169">
        <v>222375.43913155</v>
      </c>
      <c r="T69" s="169">
        <v>238499.02406698998</v>
      </c>
      <c r="U69" s="169">
        <v>257871.83341549998</v>
      </c>
      <c r="V69" s="169">
        <v>284041.09886991</v>
      </c>
      <c r="W69" s="169">
        <v>298020.89774992998</v>
      </c>
      <c r="X69" s="169">
        <v>313087.30807848001</v>
      </c>
      <c r="Y69" s="169">
        <v>321349.33764993004</v>
      </c>
      <c r="Z69" s="169">
        <v>329347.13277637999</v>
      </c>
      <c r="AA69" s="169">
        <v>337942.00826850999</v>
      </c>
      <c r="AB69" s="169">
        <v>363726.68755384005</v>
      </c>
      <c r="AC69" s="169">
        <v>367355.35432645999</v>
      </c>
    </row>
    <row r="70" spans="1:29" ht="16.5" customHeight="1">
      <c r="A70" s="137" t="s">
        <v>440</v>
      </c>
      <c r="B70" s="170">
        <v>0</v>
      </c>
      <c r="C70" s="170">
        <v>0</v>
      </c>
      <c r="D70" s="170">
        <v>0</v>
      </c>
      <c r="E70" s="170">
        <v>0</v>
      </c>
      <c r="F70" s="170">
        <v>0</v>
      </c>
      <c r="G70" s="170">
        <v>0</v>
      </c>
      <c r="H70" s="170">
        <v>0</v>
      </c>
      <c r="I70" s="170">
        <v>0</v>
      </c>
      <c r="J70" s="170">
        <v>0</v>
      </c>
      <c r="K70" s="170">
        <v>3009.6894899000008</v>
      </c>
      <c r="L70" s="170">
        <v>2603.4339593700001</v>
      </c>
      <c r="M70" s="170">
        <v>3743.9591175300002</v>
      </c>
      <c r="N70" s="170">
        <v>5936.4207224099991</v>
      </c>
      <c r="O70" s="170">
        <v>4593.4292858300005</v>
      </c>
      <c r="P70" s="170">
        <v>5607.9390114899988</v>
      </c>
      <c r="Q70" s="170">
        <v>4606.5488198399999</v>
      </c>
      <c r="R70" s="170">
        <v>5142.47423273</v>
      </c>
      <c r="S70" s="170">
        <v>4653.3119400600008</v>
      </c>
      <c r="T70" s="170">
        <v>5842.5788447699997</v>
      </c>
      <c r="U70" s="170">
        <v>7909.6932719100005</v>
      </c>
      <c r="V70" s="170">
        <v>7164.5927625800005</v>
      </c>
      <c r="W70" s="170">
        <v>6730.3433582900016</v>
      </c>
      <c r="X70" s="170">
        <v>6615.7274261799994</v>
      </c>
      <c r="Y70" s="170">
        <v>6418.1720590599989</v>
      </c>
      <c r="Z70" s="170">
        <v>9747.9759120600029</v>
      </c>
      <c r="AA70" s="170">
        <v>11177.327551820001</v>
      </c>
      <c r="AB70" s="170">
        <v>20043.37654506</v>
      </c>
      <c r="AC70" s="170">
        <v>4259.2854721000003</v>
      </c>
    </row>
    <row r="71" spans="1:29" ht="16.5" customHeight="1">
      <c r="A71" s="120" t="s">
        <v>441</v>
      </c>
      <c r="B71" s="169">
        <v>8595.9250307799994</v>
      </c>
      <c r="C71" s="169">
        <v>8926.2098613360013</v>
      </c>
      <c r="D71" s="169">
        <v>13525.426666829999</v>
      </c>
      <c r="E71" s="169">
        <v>14139.1927134</v>
      </c>
      <c r="F71" s="169">
        <v>16170.54990305785</v>
      </c>
      <c r="G71" s="169">
        <v>17342.402238080002</v>
      </c>
      <c r="H71" s="169">
        <v>22378.876945348333</v>
      </c>
      <c r="I71" s="169">
        <v>26566.853625440002</v>
      </c>
      <c r="J71" s="169">
        <v>39241.595739069511</v>
      </c>
      <c r="K71" s="169">
        <v>46120.938437605037</v>
      </c>
      <c r="L71" s="169">
        <v>56632.359419498156</v>
      </c>
      <c r="M71" s="169">
        <v>61730.849859059643</v>
      </c>
      <c r="N71" s="169">
        <v>71474.887929704259</v>
      </c>
      <c r="O71" s="169">
        <v>89577.989364782814</v>
      </c>
      <c r="P71" s="169">
        <v>98867.691487765755</v>
      </c>
      <c r="Q71" s="169">
        <v>114125.61697470736</v>
      </c>
      <c r="R71" s="169">
        <v>142104.66903894607</v>
      </c>
      <c r="S71" s="169">
        <v>170785.50895965629</v>
      </c>
      <c r="T71" s="169">
        <v>248501.96354946611</v>
      </c>
      <c r="U71" s="169">
        <v>213722.78994627076</v>
      </c>
      <c r="V71" s="169">
        <v>197138.65062491703</v>
      </c>
      <c r="W71" s="169">
        <v>201726.97124778226</v>
      </c>
      <c r="X71" s="169">
        <v>195488.4891604626</v>
      </c>
      <c r="Y71" s="169">
        <v>720443.35200617812</v>
      </c>
      <c r="Z71" s="169">
        <v>306127.06481146667</v>
      </c>
      <c r="AA71" s="169">
        <v>303488.23177499668</v>
      </c>
      <c r="AB71" s="169">
        <v>357508.45328278659</v>
      </c>
      <c r="AC71" s="169">
        <v>358388.12479626667</v>
      </c>
    </row>
    <row r="72" spans="1:29" ht="16.5" customHeight="1">
      <c r="A72" s="126" t="s">
        <v>442</v>
      </c>
      <c r="B72" s="170">
        <v>4317.0768116199997</v>
      </c>
      <c r="C72" s="170">
        <v>4458.5636266700003</v>
      </c>
      <c r="D72" s="170">
        <v>4843.0826136699998</v>
      </c>
      <c r="E72" s="170">
        <v>4636.1206819999998</v>
      </c>
      <c r="F72" s="170">
        <v>5634.7838154399997</v>
      </c>
      <c r="G72" s="170">
        <v>7198.0844046299999</v>
      </c>
      <c r="H72" s="170">
        <v>8282.774895139999</v>
      </c>
      <c r="I72" s="170">
        <v>9540.2301560899996</v>
      </c>
      <c r="J72" s="170">
        <v>11484.5718456</v>
      </c>
      <c r="K72" s="170">
        <v>14757.597923439998</v>
      </c>
      <c r="L72" s="170">
        <v>17993.34716831</v>
      </c>
      <c r="M72" s="170">
        <v>20411.369352579997</v>
      </c>
      <c r="N72" s="170">
        <v>26927.076696469998</v>
      </c>
      <c r="O72" s="170">
        <v>29808.679897949998</v>
      </c>
      <c r="P72" s="170">
        <v>34173.448411440004</v>
      </c>
      <c r="Q72" s="170">
        <v>38878.896562540001</v>
      </c>
      <c r="R72" s="170">
        <v>44235.519662599996</v>
      </c>
      <c r="S72" s="170">
        <v>53874.854374000002</v>
      </c>
      <c r="T72" s="170">
        <v>47494.598529320006</v>
      </c>
      <c r="U72" s="170">
        <v>56013.764095080005</v>
      </c>
      <c r="V72" s="170">
        <v>54508.074446309998</v>
      </c>
      <c r="W72" s="170">
        <v>53553.318827329997</v>
      </c>
      <c r="X72" s="170">
        <v>55592.256899510001</v>
      </c>
      <c r="Y72" s="170">
        <v>59570.766251430003</v>
      </c>
      <c r="Z72" s="170">
        <v>45894.699430059998</v>
      </c>
      <c r="AA72" s="170">
        <v>64270.856503939998</v>
      </c>
      <c r="AB72" s="170">
        <v>72856.081368760002</v>
      </c>
      <c r="AC72" s="170">
        <v>80712.428041599997</v>
      </c>
    </row>
    <row r="73" spans="1:29" ht="16.5" customHeight="1">
      <c r="A73" s="138" t="s">
        <v>443</v>
      </c>
      <c r="B73" s="170">
        <v>0</v>
      </c>
      <c r="C73" s="170">
        <v>0</v>
      </c>
      <c r="D73" s="170">
        <v>0</v>
      </c>
      <c r="E73" s="170">
        <v>0</v>
      </c>
      <c r="F73" s="170">
        <v>0</v>
      </c>
      <c r="G73" s="170">
        <v>0</v>
      </c>
      <c r="H73" s="170">
        <v>0</v>
      </c>
      <c r="I73" s="170">
        <v>0</v>
      </c>
      <c r="J73" s="170">
        <v>0</v>
      </c>
      <c r="K73" s="170">
        <v>0</v>
      </c>
      <c r="L73" s="170">
        <v>0</v>
      </c>
      <c r="M73" s="170">
        <v>0</v>
      </c>
      <c r="N73" s="170">
        <v>7280.2392428199983</v>
      </c>
      <c r="O73" s="170">
        <v>9029.4706783799993</v>
      </c>
      <c r="P73" s="170">
        <v>10379.39626</v>
      </c>
      <c r="Q73" s="170">
        <v>12302.253628440001</v>
      </c>
      <c r="R73" s="170">
        <v>13486.391790379999</v>
      </c>
      <c r="S73" s="170">
        <v>16683.304538199998</v>
      </c>
      <c r="T73" s="170">
        <v>9180.8223547599991</v>
      </c>
      <c r="U73" s="170">
        <v>18346.782028199999</v>
      </c>
      <c r="V73" s="170">
        <v>16565.899077599999</v>
      </c>
      <c r="W73" s="170">
        <v>17236.835199539997</v>
      </c>
      <c r="X73" s="170">
        <v>17603.320838629999</v>
      </c>
      <c r="Y73" s="170">
        <v>19579.779094220001</v>
      </c>
      <c r="Z73" s="170">
        <v>10158.25448797</v>
      </c>
      <c r="AA73" s="170">
        <v>23564.057523109997</v>
      </c>
      <c r="AB73" s="170">
        <v>25020.000811999998</v>
      </c>
      <c r="AC73" s="170">
        <v>28291.337053000003</v>
      </c>
    </row>
    <row r="74" spans="1:29" ht="16.5" customHeight="1">
      <c r="A74" s="138" t="s">
        <v>444</v>
      </c>
      <c r="B74" s="170">
        <v>0</v>
      </c>
      <c r="C74" s="170">
        <v>0</v>
      </c>
      <c r="D74" s="170">
        <v>0</v>
      </c>
      <c r="E74" s="170">
        <v>0</v>
      </c>
      <c r="F74" s="170">
        <v>0</v>
      </c>
      <c r="G74" s="170">
        <v>0</v>
      </c>
      <c r="H74" s="170">
        <v>0</v>
      </c>
      <c r="I74" s="170">
        <v>0</v>
      </c>
      <c r="J74" s="170">
        <v>0</v>
      </c>
      <c r="K74" s="170">
        <v>0</v>
      </c>
      <c r="L74" s="170">
        <v>0</v>
      </c>
      <c r="M74" s="170">
        <v>0</v>
      </c>
      <c r="N74" s="170">
        <v>19646.837453649998</v>
      </c>
      <c r="O74" s="170">
        <v>20779.209219569999</v>
      </c>
      <c r="P74" s="170">
        <v>23794.052151440002</v>
      </c>
      <c r="Q74" s="170">
        <v>26576.6429341</v>
      </c>
      <c r="R74" s="170">
        <v>30749.12787222</v>
      </c>
      <c r="S74" s="170">
        <v>37191.549835799997</v>
      </c>
      <c r="T74" s="170">
        <v>38313.776174560007</v>
      </c>
      <c r="U74" s="170">
        <v>37666.982066880002</v>
      </c>
      <c r="V74" s="170">
        <v>37942.175368710006</v>
      </c>
      <c r="W74" s="170">
        <v>36316.483627789996</v>
      </c>
      <c r="X74" s="170">
        <v>37988.936060879998</v>
      </c>
      <c r="Y74" s="170">
        <v>39990.987157210002</v>
      </c>
      <c r="Z74" s="170">
        <v>35736.444942090005</v>
      </c>
      <c r="AA74" s="170">
        <v>40706.798980830004</v>
      </c>
      <c r="AB74" s="170">
        <v>47836.080556760004</v>
      </c>
      <c r="AC74" s="170">
        <v>52421.090988600001</v>
      </c>
    </row>
    <row r="75" spans="1:29" ht="16.5" customHeight="1">
      <c r="A75" s="139" t="s">
        <v>445</v>
      </c>
      <c r="B75" s="170">
        <v>0</v>
      </c>
      <c r="C75" s="170">
        <v>0</v>
      </c>
      <c r="D75" s="170">
        <v>0</v>
      </c>
      <c r="E75" s="170">
        <v>0</v>
      </c>
      <c r="F75" s="170">
        <v>0</v>
      </c>
      <c r="G75" s="170">
        <v>0</v>
      </c>
      <c r="H75" s="170">
        <v>0</v>
      </c>
      <c r="I75" s="170">
        <v>0</v>
      </c>
      <c r="J75" s="170">
        <v>0</v>
      </c>
      <c r="K75" s="170">
        <v>0</v>
      </c>
      <c r="L75" s="170">
        <v>0</v>
      </c>
      <c r="M75" s="170">
        <v>0</v>
      </c>
      <c r="N75" s="170">
        <v>891.22418000000016</v>
      </c>
      <c r="O75" s="170">
        <v>1218.9845049999999</v>
      </c>
      <c r="P75" s="170">
        <v>1264.4985889999998</v>
      </c>
      <c r="Q75" s="170">
        <v>1788.7869949999999</v>
      </c>
      <c r="R75" s="170">
        <v>1905.9322582499999</v>
      </c>
      <c r="S75" s="170">
        <v>2400.1764943100002</v>
      </c>
      <c r="T75" s="170">
        <v>2749.4768757500005</v>
      </c>
      <c r="U75" s="170">
        <v>1443.5995794899998</v>
      </c>
      <c r="V75" s="170">
        <v>2429.8996163799998</v>
      </c>
      <c r="W75" s="170">
        <v>2556.7626834700004</v>
      </c>
      <c r="X75" s="170">
        <v>2783.24116</v>
      </c>
      <c r="Y75" s="170">
        <v>3405.1871706999996</v>
      </c>
      <c r="Z75" s="170">
        <v>3911.2148129999991</v>
      </c>
      <c r="AA75" s="170">
        <v>3706.3754643900002</v>
      </c>
      <c r="AB75" s="170">
        <v>4298.2123601700005</v>
      </c>
      <c r="AC75" s="170">
        <v>4441.6417377500011</v>
      </c>
    </row>
    <row r="76" spans="1:29" ht="16.5" customHeight="1">
      <c r="A76" s="126" t="s">
        <v>446</v>
      </c>
      <c r="B76" s="170">
        <v>0</v>
      </c>
      <c r="C76" s="170">
        <v>0</v>
      </c>
      <c r="D76" s="170">
        <v>0</v>
      </c>
      <c r="E76" s="170">
        <v>0</v>
      </c>
      <c r="F76" s="170">
        <v>0</v>
      </c>
      <c r="G76" s="170">
        <v>0</v>
      </c>
      <c r="H76" s="170">
        <v>0</v>
      </c>
      <c r="I76" s="170">
        <v>0</v>
      </c>
      <c r="J76" s="170">
        <v>0</v>
      </c>
      <c r="K76" s="170">
        <v>0</v>
      </c>
      <c r="L76" s="170">
        <v>0</v>
      </c>
      <c r="M76" s="170">
        <v>0</v>
      </c>
      <c r="N76" s="170">
        <v>128.40796609</v>
      </c>
      <c r="O76" s="170">
        <v>165.972074327</v>
      </c>
      <c r="P76" s="170">
        <v>191.99957898000002</v>
      </c>
      <c r="Q76" s="170">
        <v>171.41771152000001</v>
      </c>
      <c r="R76" s="170">
        <v>212.54911185</v>
      </c>
      <c r="S76" s="170">
        <v>191.13274392</v>
      </c>
      <c r="T76" s="170">
        <v>212.00178485000004</v>
      </c>
      <c r="U76" s="170">
        <v>201.36760451000001</v>
      </c>
      <c r="V76" s="170">
        <v>180.78980663999999</v>
      </c>
      <c r="W76" s="170">
        <v>168.19472689000003</v>
      </c>
      <c r="X76" s="170">
        <v>161.4912459</v>
      </c>
      <c r="Y76" s="170">
        <v>160.43873213000001</v>
      </c>
      <c r="Z76" s="170">
        <v>157.7838989</v>
      </c>
      <c r="AA76" s="170">
        <v>161.53954537999999</v>
      </c>
      <c r="AB76" s="170">
        <v>173.61947904000002</v>
      </c>
      <c r="AC76" s="170">
        <v>184.35198840999999</v>
      </c>
    </row>
    <row r="77" spans="1:29" ht="16.5" customHeight="1">
      <c r="A77" s="126" t="s">
        <v>447</v>
      </c>
      <c r="B77" s="170">
        <v>0</v>
      </c>
      <c r="C77" s="170">
        <v>0</v>
      </c>
      <c r="D77" s="170">
        <v>0</v>
      </c>
      <c r="E77" s="170">
        <v>0</v>
      </c>
      <c r="F77" s="170">
        <v>0</v>
      </c>
      <c r="G77" s="170">
        <v>0</v>
      </c>
      <c r="H77" s="170">
        <v>0</v>
      </c>
      <c r="I77" s="170">
        <v>0</v>
      </c>
      <c r="J77" s="170">
        <v>0</v>
      </c>
      <c r="K77" s="170">
        <v>0</v>
      </c>
      <c r="L77" s="170">
        <v>0</v>
      </c>
      <c r="M77" s="170">
        <v>0</v>
      </c>
      <c r="N77" s="170">
        <v>1867.4964169500001</v>
      </c>
      <c r="O77" s="170">
        <v>1316.60966489</v>
      </c>
      <c r="P77" s="170">
        <v>0</v>
      </c>
      <c r="Q77" s="170">
        <v>0</v>
      </c>
      <c r="R77" s="170">
        <v>1500</v>
      </c>
      <c r="S77" s="170">
        <v>1500</v>
      </c>
      <c r="T77" s="170">
        <v>0</v>
      </c>
      <c r="U77" s="170">
        <v>2900</v>
      </c>
      <c r="V77" s="170">
        <v>0</v>
      </c>
      <c r="W77" s="170">
        <v>0</v>
      </c>
      <c r="X77" s="170">
        <v>0</v>
      </c>
      <c r="Y77" s="170">
        <v>78247.025915749982</v>
      </c>
      <c r="Z77" s="170">
        <v>0</v>
      </c>
      <c r="AA77" s="170">
        <v>13992.35797633</v>
      </c>
      <c r="AB77" s="170">
        <v>27095.102683470002</v>
      </c>
      <c r="AC77" s="170">
        <v>1731.7850038899999</v>
      </c>
    </row>
    <row r="78" spans="1:29" ht="16.5" customHeight="1">
      <c r="A78" s="126" t="s">
        <v>448</v>
      </c>
      <c r="B78" s="170">
        <v>0</v>
      </c>
      <c r="C78" s="170">
        <v>0</v>
      </c>
      <c r="D78" s="170">
        <v>0</v>
      </c>
      <c r="E78" s="170">
        <v>0</v>
      </c>
      <c r="F78" s="170">
        <v>0</v>
      </c>
      <c r="G78" s="170">
        <v>0</v>
      </c>
      <c r="H78" s="170">
        <v>0</v>
      </c>
      <c r="I78" s="170">
        <v>0</v>
      </c>
      <c r="J78" s="170">
        <v>0</v>
      </c>
      <c r="K78" s="170">
        <v>0</v>
      </c>
      <c r="L78" s="170">
        <v>0</v>
      </c>
      <c r="M78" s="170">
        <v>0</v>
      </c>
      <c r="N78" s="170">
        <v>0.17051733999999999</v>
      </c>
      <c r="O78" s="170">
        <v>204.74905230000002</v>
      </c>
      <c r="P78" s="170">
        <v>288.39055135000001</v>
      </c>
      <c r="Q78" s="170">
        <v>340.43095929999998</v>
      </c>
      <c r="R78" s="170">
        <v>330.92015232</v>
      </c>
      <c r="S78" s="170">
        <v>358.64700801000009</v>
      </c>
      <c r="T78" s="170">
        <v>793.40057262000005</v>
      </c>
      <c r="U78" s="170">
        <v>537.27259186999993</v>
      </c>
      <c r="V78" s="170">
        <v>571.53249633999997</v>
      </c>
      <c r="W78" s="170">
        <v>614.96229543999993</v>
      </c>
      <c r="X78" s="170">
        <v>736.93549956000015</v>
      </c>
      <c r="Y78" s="170">
        <v>640.67665571999999</v>
      </c>
      <c r="Z78" s="170">
        <v>630.80844371000001</v>
      </c>
      <c r="AA78" s="170">
        <v>693.58980442000006</v>
      </c>
      <c r="AB78" s="170">
        <v>717.57855470000004</v>
      </c>
      <c r="AC78" s="170">
        <v>804.54747711000005</v>
      </c>
    </row>
    <row r="79" spans="1:29" ht="16.5" customHeight="1">
      <c r="A79" s="126" t="s">
        <v>449</v>
      </c>
      <c r="B79" s="170">
        <v>0</v>
      </c>
      <c r="C79" s="170">
        <v>0</v>
      </c>
      <c r="D79" s="170">
        <v>1459.9915896300001</v>
      </c>
      <c r="E79" s="170">
        <v>2006.9183883600001</v>
      </c>
      <c r="F79" s="170">
        <v>2687.2094243699999</v>
      </c>
      <c r="G79" s="170">
        <v>3462.7862188899999</v>
      </c>
      <c r="H79" s="170">
        <v>4447.9921362699997</v>
      </c>
      <c r="I79" s="170">
        <v>7501.9871341099988</v>
      </c>
      <c r="J79" s="170">
        <v>9253.0668152100006</v>
      </c>
      <c r="K79" s="170">
        <v>11638.85082152</v>
      </c>
      <c r="L79" s="170">
        <v>14191.99225401</v>
      </c>
      <c r="M79" s="170">
        <v>16036.195987059999</v>
      </c>
      <c r="N79" s="170">
        <v>18945.99490084</v>
      </c>
      <c r="O79" s="170">
        <v>22502.499288809999</v>
      </c>
      <c r="P79" s="170">
        <v>25235.89644176</v>
      </c>
      <c r="Q79" s="170">
        <v>29543.318279860003</v>
      </c>
      <c r="R79" s="170">
        <v>33943.562909950007</v>
      </c>
      <c r="S79" s="170">
        <v>38557.764565019999</v>
      </c>
      <c r="T79" s="170">
        <v>42538.359842039994</v>
      </c>
      <c r="U79" s="170">
        <v>48990.084008509999</v>
      </c>
      <c r="V79" s="170">
        <v>53744.197278469997</v>
      </c>
      <c r="W79" s="170">
        <v>56156.036372819995</v>
      </c>
      <c r="X79" s="170">
        <v>59728.364272600003</v>
      </c>
      <c r="Y79" s="170">
        <v>62667.563433789997</v>
      </c>
      <c r="Z79" s="170">
        <v>67667.709556650007</v>
      </c>
      <c r="AA79" s="170">
        <v>78826.640292589989</v>
      </c>
      <c r="AB79" s="170">
        <v>92671.236105880016</v>
      </c>
      <c r="AC79" s="170">
        <v>111084.78610847</v>
      </c>
    </row>
    <row r="80" spans="1:29" s="130" customFormat="1" ht="16.5" customHeight="1">
      <c r="A80" s="140" t="s">
        <v>450</v>
      </c>
      <c r="B80" s="170">
        <v>0</v>
      </c>
      <c r="C80" s="170">
        <v>0</v>
      </c>
      <c r="D80" s="170">
        <v>0</v>
      </c>
      <c r="E80" s="170">
        <v>0</v>
      </c>
      <c r="F80" s="170">
        <v>0</v>
      </c>
      <c r="G80" s="170">
        <v>0</v>
      </c>
      <c r="H80" s="170">
        <v>0</v>
      </c>
      <c r="I80" s="170">
        <v>0</v>
      </c>
      <c r="J80" s="170">
        <v>0</v>
      </c>
      <c r="K80" s="170">
        <v>0</v>
      </c>
      <c r="L80" s="170">
        <v>0</v>
      </c>
      <c r="M80" s="170">
        <v>0</v>
      </c>
      <c r="N80" s="170">
        <v>0</v>
      </c>
      <c r="O80" s="170">
        <v>268.28720305000002</v>
      </c>
      <c r="P80" s="170">
        <v>331.11013237000003</v>
      </c>
      <c r="Q80" s="170">
        <v>335.87376696000001</v>
      </c>
      <c r="R80" s="170">
        <v>420.72160051999998</v>
      </c>
      <c r="S80" s="170">
        <v>646.00365561000001</v>
      </c>
      <c r="T80" s="170">
        <v>895.85020798999994</v>
      </c>
      <c r="U80" s="170">
        <v>1031.4305655200001</v>
      </c>
      <c r="V80" s="170">
        <v>1047.44127852</v>
      </c>
      <c r="W80" s="170">
        <v>1083.7716391599999</v>
      </c>
      <c r="X80" s="170">
        <v>1248.76860283</v>
      </c>
      <c r="Y80" s="170">
        <v>1286.1925304699998</v>
      </c>
      <c r="Z80" s="170">
        <v>1690.64414472</v>
      </c>
      <c r="AA80" s="170">
        <v>2250.40028368</v>
      </c>
      <c r="AB80" s="170">
        <v>3779.2785624700005</v>
      </c>
      <c r="AC80" s="170">
        <v>5335.4164561899997</v>
      </c>
    </row>
    <row r="81" spans="1:29" s="130" customFormat="1" ht="16.5" customHeight="1">
      <c r="A81" s="126" t="s">
        <v>451</v>
      </c>
      <c r="B81" s="170">
        <v>0</v>
      </c>
      <c r="C81" s="170">
        <v>0</v>
      </c>
      <c r="D81" s="170">
        <v>0</v>
      </c>
      <c r="E81" s="170">
        <v>0</v>
      </c>
      <c r="F81" s="170">
        <v>0</v>
      </c>
      <c r="G81" s="170">
        <v>0</v>
      </c>
      <c r="H81" s="170">
        <v>0</v>
      </c>
      <c r="I81" s="170">
        <v>0</v>
      </c>
      <c r="J81" s="170">
        <v>0</v>
      </c>
      <c r="K81" s="170">
        <v>0</v>
      </c>
      <c r="L81" s="170">
        <v>0</v>
      </c>
      <c r="M81" s="170">
        <v>0</v>
      </c>
      <c r="N81" s="170">
        <v>0</v>
      </c>
      <c r="O81" s="170">
        <v>0</v>
      </c>
      <c r="P81" s="170">
        <v>0</v>
      </c>
      <c r="Q81" s="170">
        <v>0</v>
      </c>
      <c r="R81" s="170">
        <v>0</v>
      </c>
      <c r="S81" s="170">
        <v>900</v>
      </c>
      <c r="T81" s="170">
        <v>16943.660153559998</v>
      </c>
      <c r="U81" s="170">
        <v>5624.2858522400002</v>
      </c>
      <c r="V81" s="170">
        <v>5207.9944730999996</v>
      </c>
      <c r="W81" s="170">
        <v>5029.8981349700007</v>
      </c>
      <c r="X81" s="170">
        <v>5296.9225319999987</v>
      </c>
      <c r="Y81" s="170">
        <v>35.811581000000004</v>
      </c>
      <c r="Z81" s="170">
        <v>31.673050109999998</v>
      </c>
      <c r="AA81" s="170">
        <v>87.323755219999995</v>
      </c>
      <c r="AB81" s="170">
        <v>102.31762000000001</v>
      </c>
      <c r="AC81" s="170">
        <v>94.064622619999994</v>
      </c>
    </row>
    <row r="82" spans="1:29" s="130" customFormat="1" ht="16.5" customHeight="1">
      <c r="A82" s="126" t="s">
        <v>452</v>
      </c>
      <c r="B82" s="170">
        <v>0</v>
      </c>
      <c r="C82" s="170">
        <v>0</v>
      </c>
      <c r="D82" s="170">
        <v>0</v>
      </c>
      <c r="E82" s="170">
        <v>0</v>
      </c>
      <c r="F82" s="170">
        <v>0</v>
      </c>
      <c r="G82" s="170">
        <v>0</v>
      </c>
      <c r="H82" s="170">
        <v>0</v>
      </c>
      <c r="I82" s="170">
        <v>0</v>
      </c>
      <c r="J82" s="170">
        <v>2135.6650051899996</v>
      </c>
      <c r="K82" s="170">
        <v>5321.1545718699999</v>
      </c>
      <c r="L82" s="170">
        <v>7948.1069205499998</v>
      </c>
      <c r="M82" s="170">
        <v>4679.0565150699995</v>
      </c>
      <c r="N82" s="170">
        <v>2806.3791746200004</v>
      </c>
      <c r="O82" s="170">
        <v>8599.5594615299997</v>
      </c>
      <c r="P82" s="170">
        <v>5036.805995239999</v>
      </c>
      <c r="Q82" s="170">
        <v>2763.74318361</v>
      </c>
      <c r="R82" s="170">
        <v>6382.3827607599997</v>
      </c>
      <c r="S82" s="170">
        <v>4035.8900083600001</v>
      </c>
      <c r="T82" s="170">
        <v>6157.295214669999</v>
      </c>
      <c r="U82" s="170">
        <v>3982.2754615544218</v>
      </c>
      <c r="V82" s="170">
        <v>785.2241094100001</v>
      </c>
      <c r="W82" s="170">
        <v>5733.2249433799989</v>
      </c>
      <c r="X82" s="170">
        <v>3344.0135141000001</v>
      </c>
      <c r="Y82" s="170">
        <v>429608.07966009004</v>
      </c>
      <c r="Z82" s="170">
        <v>117175.62603516999</v>
      </c>
      <c r="AA82" s="170">
        <v>46983.165718760007</v>
      </c>
      <c r="AB82" s="170">
        <v>2792.4050218099997</v>
      </c>
      <c r="AC82" s="170">
        <v>25676.095257960002</v>
      </c>
    </row>
    <row r="83" spans="1:29" s="130" customFormat="1" ht="16.5" customHeight="1">
      <c r="A83" s="126" t="s">
        <v>453</v>
      </c>
      <c r="B83" s="170">
        <v>0</v>
      </c>
      <c r="C83" s="170">
        <v>0</v>
      </c>
      <c r="D83" s="170">
        <v>0</v>
      </c>
      <c r="E83" s="170">
        <v>0</v>
      </c>
      <c r="F83" s="170">
        <v>0</v>
      </c>
      <c r="G83" s="170">
        <v>0</v>
      </c>
      <c r="H83" s="170">
        <v>0</v>
      </c>
      <c r="I83" s="170">
        <v>0</v>
      </c>
      <c r="J83" s="170">
        <v>0</v>
      </c>
      <c r="K83" s="170">
        <v>0</v>
      </c>
      <c r="L83" s="170">
        <v>0</v>
      </c>
      <c r="M83" s="170">
        <v>0</v>
      </c>
      <c r="N83" s="170">
        <v>0</v>
      </c>
      <c r="O83" s="170">
        <v>0</v>
      </c>
      <c r="P83" s="170">
        <v>0</v>
      </c>
      <c r="Q83" s="170">
        <v>1790</v>
      </c>
      <c r="R83" s="170">
        <v>9019.7199999999993</v>
      </c>
      <c r="S83" s="170">
        <v>18052.000100830002</v>
      </c>
      <c r="T83" s="170">
        <v>25406.973684770001</v>
      </c>
      <c r="U83" s="170">
        <v>17593.309999999998</v>
      </c>
      <c r="V83" s="170">
        <v>13901.35</v>
      </c>
      <c r="W83" s="170">
        <v>13534.54</v>
      </c>
      <c r="X83" s="170">
        <v>10194.93</v>
      </c>
      <c r="Y83" s="170">
        <v>9407.2100000000009</v>
      </c>
      <c r="Z83" s="170">
        <v>7271.3</v>
      </c>
      <c r="AA83" s="170">
        <v>3096.09</v>
      </c>
      <c r="AB83" s="170">
        <v>0</v>
      </c>
      <c r="AC83" s="170">
        <v>0</v>
      </c>
    </row>
    <row r="84" spans="1:29" ht="16.5" customHeight="1">
      <c r="A84" s="126" t="s">
        <v>454</v>
      </c>
      <c r="B84" s="170">
        <v>0</v>
      </c>
      <c r="C84" s="170">
        <v>0</v>
      </c>
      <c r="D84" s="170">
        <v>274.179416</v>
      </c>
      <c r="E84" s="170">
        <v>255.79096974999999</v>
      </c>
      <c r="F84" s="170">
        <v>267.93001780000003</v>
      </c>
      <c r="G84" s="170">
        <v>216.76448406999998</v>
      </c>
      <c r="H84" s="170">
        <v>276.29596121999992</v>
      </c>
      <c r="I84" s="170">
        <v>323.66554075000005</v>
      </c>
      <c r="J84" s="170">
        <v>345.24080573000003</v>
      </c>
      <c r="K84" s="170">
        <v>386.72800787</v>
      </c>
      <c r="L84" s="170">
        <v>507.835210718155</v>
      </c>
      <c r="M84" s="170">
        <v>599.90906652000001</v>
      </c>
      <c r="N84" s="170">
        <v>885.02184953000017</v>
      </c>
      <c r="O84" s="170">
        <v>819.90549551000004</v>
      </c>
      <c r="P84" s="170">
        <v>935.0778851299998</v>
      </c>
      <c r="Q84" s="170">
        <v>1003.67724924</v>
      </c>
      <c r="R84" s="170">
        <v>1441.4349774999998</v>
      </c>
      <c r="S84" s="170">
        <v>527.48556332999999</v>
      </c>
      <c r="T84" s="170">
        <v>735.73083510999993</v>
      </c>
      <c r="U84" s="170">
        <v>772.51783618999991</v>
      </c>
      <c r="V84" s="170">
        <v>856.39284118</v>
      </c>
      <c r="W84" s="170">
        <v>870.22431269000015</v>
      </c>
      <c r="X84" s="170">
        <v>931.33363492000012</v>
      </c>
      <c r="Y84" s="170">
        <v>1047.61720223</v>
      </c>
      <c r="Z84" s="170">
        <v>999.19325802000003</v>
      </c>
      <c r="AA84" s="170">
        <v>1000.46852358</v>
      </c>
      <c r="AB84" s="170">
        <v>1105.9989334700001</v>
      </c>
      <c r="AC84" s="170">
        <v>1204.7964765600002</v>
      </c>
    </row>
    <row r="85" spans="1:29" ht="16.5" customHeight="1">
      <c r="A85" s="126" t="s">
        <v>455</v>
      </c>
      <c r="B85" s="170">
        <v>0</v>
      </c>
      <c r="C85" s="170">
        <v>0</v>
      </c>
      <c r="D85" s="170">
        <v>675.06095499999992</v>
      </c>
      <c r="E85" s="170">
        <v>505.63646000000006</v>
      </c>
      <c r="F85" s="170">
        <v>451.94128200000006</v>
      </c>
      <c r="G85" s="170">
        <v>431.37499700000006</v>
      </c>
      <c r="H85" s="170">
        <v>335.91929077000003</v>
      </c>
      <c r="I85" s="170">
        <v>484.99355500000001</v>
      </c>
      <c r="J85" s="170">
        <v>434.30257309000007</v>
      </c>
      <c r="K85" s="170">
        <v>320.26274466000001</v>
      </c>
      <c r="L85" s="170">
        <v>2018.6186643000001</v>
      </c>
      <c r="M85" s="170">
        <v>3174.3435800050001</v>
      </c>
      <c r="N85" s="170">
        <v>5070.22115846</v>
      </c>
      <c r="O85" s="170">
        <v>5353.3100936460005</v>
      </c>
      <c r="P85" s="170">
        <v>9328.9104477799992</v>
      </c>
      <c r="Q85" s="170">
        <v>10372.208194249999</v>
      </c>
      <c r="R85" s="170">
        <v>9272.1816062899998</v>
      </c>
      <c r="S85" s="170">
        <v>10859.487708559998</v>
      </c>
      <c r="T85" s="170">
        <v>13287.747749739996</v>
      </c>
      <c r="U85" s="170">
        <v>13674.847500809999</v>
      </c>
      <c r="V85" s="170">
        <v>13070.920978370003</v>
      </c>
      <c r="W85" s="170">
        <v>13814.694498289997</v>
      </c>
      <c r="X85" s="170">
        <v>15602.801777150004</v>
      </c>
      <c r="Y85" s="170">
        <v>15003.535418039999</v>
      </c>
      <c r="Z85" s="170">
        <v>22033.40725144</v>
      </c>
      <c r="AA85" s="170">
        <v>32881.539824929998</v>
      </c>
      <c r="AB85" s="170">
        <v>37487.823048090009</v>
      </c>
      <c r="AC85" s="170">
        <v>47544.195025959998</v>
      </c>
    </row>
    <row r="86" spans="1:29" ht="16.5" customHeight="1">
      <c r="A86" s="126" t="s">
        <v>456</v>
      </c>
      <c r="B86" s="170">
        <v>0</v>
      </c>
      <c r="C86" s="170">
        <v>0</v>
      </c>
      <c r="D86" s="170">
        <v>0</v>
      </c>
      <c r="E86" s="170">
        <v>0</v>
      </c>
      <c r="F86" s="170">
        <v>0</v>
      </c>
      <c r="G86" s="170">
        <v>0</v>
      </c>
      <c r="H86" s="170">
        <v>0</v>
      </c>
      <c r="I86" s="170">
        <v>0</v>
      </c>
      <c r="J86" s="170">
        <v>385.58693194</v>
      </c>
      <c r="K86" s="170">
        <v>402.39382770999993</v>
      </c>
      <c r="L86" s="170">
        <v>459.53838831999997</v>
      </c>
      <c r="M86" s="170">
        <v>473.97895983999996</v>
      </c>
      <c r="N86" s="170">
        <v>527.44716701999994</v>
      </c>
      <c r="O86" s="170">
        <v>545.23036982999997</v>
      </c>
      <c r="P86" s="170">
        <v>679.6471958599999</v>
      </c>
      <c r="Q86" s="170">
        <v>865.70456428000011</v>
      </c>
      <c r="R86" s="170">
        <v>1119.24734115</v>
      </c>
      <c r="S86" s="170">
        <v>1217.0262292499999</v>
      </c>
      <c r="T86" s="170">
        <v>7059.78910739</v>
      </c>
      <c r="U86" s="170">
        <v>1174.21748946</v>
      </c>
      <c r="V86" s="170">
        <v>1458.0491827200001</v>
      </c>
      <c r="W86" s="170">
        <v>1597.8211898500001</v>
      </c>
      <c r="X86" s="170">
        <v>1725.2358076</v>
      </c>
      <c r="Y86" s="170">
        <v>1969.6772670499997</v>
      </c>
      <c r="Z86" s="170">
        <v>2147.78759077</v>
      </c>
      <c r="AA86" s="170">
        <v>2412.57165317</v>
      </c>
      <c r="AB86" s="170">
        <v>4282.8893076499999</v>
      </c>
      <c r="AC86" s="170">
        <v>4823.4863511200001</v>
      </c>
    </row>
    <row r="87" spans="1:29" ht="16.5" customHeight="1">
      <c r="A87" s="126" t="s">
        <v>457</v>
      </c>
      <c r="B87" s="170">
        <v>0</v>
      </c>
      <c r="C87" s="170">
        <v>0</v>
      </c>
      <c r="D87" s="170">
        <v>0</v>
      </c>
      <c r="E87" s="170">
        <v>0</v>
      </c>
      <c r="F87" s="170">
        <v>0</v>
      </c>
      <c r="G87" s="170">
        <v>0</v>
      </c>
      <c r="H87" s="170">
        <v>0</v>
      </c>
      <c r="I87" s="170">
        <v>0</v>
      </c>
      <c r="J87" s="170">
        <v>0</v>
      </c>
      <c r="K87" s="170">
        <v>0</v>
      </c>
      <c r="L87" s="170">
        <v>0</v>
      </c>
      <c r="M87" s="170">
        <v>5636.40028962</v>
      </c>
      <c r="N87" s="170">
        <v>5497.4303828100001</v>
      </c>
      <c r="O87" s="170">
        <v>6664.7801695600001</v>
      </c>
      <c r="P87" s="170">
        <v>7001.9265053400004</v>
      </c>
      <c r="Q87" s="170">
        <v>8257.5337315999986</v>
      </c>
      <c r="R87" s="170">
        <v>8662.630890370001</v>
      </c>
      <c r="S87" s="170">
        <v>10427.526484219999</v>
      </c>
      <c r="T87" s="170">
        <v>11786.22461845</v>
      </c>
      <c r="U87" s="170">
        <v>13004.18584457</v>
      </c>
      <c r="V87" s="170">
        <v>12060.392760300001</v>
      </c>
      <c r="W87" s="170">
        <v>13370.27294031</v>
      </c>
      <c r="X87" s="170">
        <v>12262.284395219998</v>
      </c>
      <c r="Y87" s="170">
        <v>11166.57086869</v>
      </c>
      <c r="Z87" s="170">
        <v>11011.21151411</v>
      </c>
      <c r="AA87" s="170">
        <v>15001.347358399998</v>
      </c>
      <c r="AB87" s="170">
        <v>17369.292926269998</v>
      </c>
      <c r="AC87" s="170">
        <v>19555.812320000001</v>
      </c>
    </row>
    <row r="88" spans="1:29" ht="16.5" customHeight="1">
      <c r="A88" s="126" t="s">
        <v>458</v>
      </c>
      <c r="B88" s="170">
        <v>1633.7767836899998</v>
      </c>
      <c r="C88" s="170">
        <v>2255.1003938659996</v>
      </c>
      <c r="D88" s="170">
        <v>4403.91128166</v>
      </c>
      <c r="E88" s="170">
        <v>3816.0541958900003</v>
      </c>
      <c r="F88" s="170">
        <v>3582.18043794</v>
      </c>
      <c r="G88" s="170">
        <v>3952.6287798399994</v>
      </c>
      <c r="H88" s="170">
        <v>3900.0000016883341</v>
      </c>
      <c r="I88" s="170">
        <v>4295.7978246300008</v>
      </c>
      <c r="J88" s="170">
        <v>4757.399574633333</v>
      </c>
      <c r="K88" s="170">
        <v>4343.3038312500003</v>
      </c>
      <c r="L88" s="170">
        <v>3887.8170007100002</v>
      </c>
      <c r="M88" s="170">
        <v>5216.1154175000001</v>
      </c>
      <c r="N88" s="170">
        <v>3900</v>
      </c>
      <c r="O88" s="170">
        <v>3900</v>
      </c>
      <c r="P88" s="170">
        <v>3900</v>
      </c>
      <c r="Q88" s="170">
        <v>3900</v>
      </c>
      <c r="R88" s="170">
        <v>1950</v>
      </c>
      <c r="S88" s="170">
        <v>3900</v>
      </c>
      <c r="T88" s="170">
        <v>3900</v>
      </c>
      <c r="U88" s="170">
        <v>5857.7658666699999</v>
      </c>
      <c r="V88" s="170">
        <v>3860.415896</v>
      </c>
      <c r="W88" s="170">
        <v>1909.9999999266668</v>
      </c>
      <c r="X88" s="170">
        <v>0</v>
      </c>
      <c r="Y88" s="170">
        <v>3119.2049901999999</v>
      </c>
      <c r="Z88" s="170">
        <v>4856.4183162699992</v>
      </c>
      <c r="AA88" s="170">
        <v>3987.9328570399998</v>
      </c>
      <c r="AB88" s="170">
        <v>3986.9167283300003</v>
      </c>
      <c r="AC88" s="170">
        <v>3985.5633745200007</v>
      </c>
    </row>
    <row r="89" spans="1:29" ht="16.5" customHeight="1">
      <c r="A89" s="126" t="s">
        <v>459</v>
      </c>
      <c r="B89" s="170">
        <v>0</v>
      </c>
      <c r="C89" s="170">
        <v>0</v>
      </c>
      <c r="D89" s="170">
        <v>0</v>
      </c>
      <c r="E89" s="170">
        <v>0</v>
      </c>
      <c r="F89" s="170">
        <v>0</v>
      </c>
      <c r="G89" s="170">
        <v>0</v>
      </c>
      <c r="H89" s="170">
        <v>0</v>
      </c>
      <c r="I89" s="170">
        <v>0</v>
      </c>
      <c r="J89" s="170">
        <v>711.93736045999992</v>
      </c>
      <c r="K89" s="170">
        <v>1012.3669456000002</v>
      </c>
      <c r="L89" s="170">
        <v>1221.7161128400003</v>
      </c>
      <c r="M89" s="170">
        <v>1526.40562116</v>
      </c>
      <c r="N89" s="170">
        <v>1740.3753196399998</v>
      </c>
      <c r="O89" s="170">
        <v>2094.6091726300001</v>
      </c>
      <c r="P89" s="170">
        <v>2263.3453988699998</v>
      </c>
      <c r="Q89" s="170">
        <v>2874.3281611600005</v>
      </c>
      <c r="R89" s="170">
        <v>3367.3143381499999</v>
      </c>
      <c r="S89" s="170">
        <v>4854.9627161600001</v>
      </c>
      <c r="T89" s="170">
        <v>9878.8426195000011</v>
      </c>
      <c r="U89" s="170">
        <v>10163.36612316</v>
      </c>
      <c r="V89" s="170">
        <v>10661.326482349999</v>
      </c>
      <c r="W89" s="170">
        <v>13880.939021820001</v>
      </c>
      <c r="X89" s="170">
        <v>15477.295838029999</v>
      </c>
      <c r="Y89" s="170">
        <v>22876.662231619997</v>
      </c>
      <c r="Z89" s="170">
        <v>18763.336157170001</v>
      </c>
      <c r="AA89" s="170">
        <v>17349.083634880004</v>
      </c>
      <c r="AB89" s="170">
        <v>71441.176334670003</v>
      </c>
      <c r="AC89" s="170">
        <v>34280.573498920006</v>
      </c>
    </row>
    <row r="90" spans="1:29" ht="16.5" customHeight="1">
      <c r="A90" s="126" t="s">
        <v>460</v>
      </c>
      <c r="B90" s="170">
        <v>1773.7324354700002</v>
      </c>
      <c r="C90" s="170">
        <v>2075.4648407999998</v>
      </c>
      <c r="D90" s="170">
        <v>1869.2008108700002</v>
      </c>
      <c r="E90" s="170">
        <v>2918.6720173999997</v>
      </c>
      <c r="F90" s="170">
        <v>3546.504925507852</v>
      </c>
      <c r="G90" s="170">
        <v>2080.7633536500002</v>
      </c>
      <c r="H90" s="170">
        <v>5135.8946602599999</v>
      </c>
      <c r="I90" s="170">
        <v>4373.7626962699997</v>
      </c>
      <c r="J90" s="170">
        <v>9669.1272725861727</v>
      </c>
      <c r="K90" s="170">
        <v>7849.8401127250363</v>
      </c>
      <c r="L90" s="170">
        <v>7783.0916270199996</v>
      </c>
      <c r="M90" s="170">
        <v>3337.7736024346409</v>
      </c>
      <c r="N90" s="170">
        <v>2658.7468473242488</v>
      </c>
      <c r="O90" s="170">
        <v>4742.3064483579219</v>
      </c>
      <c r="P90" s="170">
        <v>6718.0690743500008</v>
      </c>
      <c r="Q90" s="170">
        <v>7596.983513139</v>
      </c>
      <c r="R90" s="170">
        <v>5949.2854143899995</v>
      </c>
      <c r="S90" s="170">
        <v>4345.7205768400008</v>
      </c>
      <c r="T90" s="170">
        <v>53636.037421340006</v>
      </c>
      <c r="U90" s="170">
        <v>24096.592876279996</v>
      </c>
      <c r="V90" s="170">
        <v>18544.912791539999</v>
      </c>
      <c r="W90" s="170">
        <v>15721.762424090004</v>
      </c>
      <c r="X90" s="170">
        <v>11296.546321739997</v>
      </c>
      <c r="Y90" s="170">
        <v>21067.133486530001</v>
      </c>
      <c r="Z90" s="170">
        <v>7468.8446182200005</v>
      </c>
      <c r="AA90" s="170">
        <v>15324.370683069999</v>
      </c>
      <c r="AB90" s="170">
        <v>21665.11067383</v>
      </c>
      <c r="AC90" s="170">
        <v>17849.118893700001</v>
      </c>
    </row>
    <row r="91" spans="1:29" ht="16.5" customHeight="1">
      <c r="A91" s="139" t="s">
        <v>461</v>
      </c>
      <c r="B91" s="170">
        <v>1773.7324354700002</v>
      </c>
      <c r="C91" s="170">
        <v>2075.4648407999998</v>
      </c>
      <c r="D91" s="170">
        <v>1869.2008108700002</v>
      </c>
      <c r="E91" s="170">
        <v>2918.6720173999997</v>
      </c>
      <c r="F91" s="170">
        <v>3546.504925507852</v>
      </c>
      <c r="G91" s="170">
        <v>2080.7633536499998</v>
      </c>
      <c r="H91" s="170">
        <v>5105.8946602599999</v>
      </c>
      <c r="I91" s="170">
        <v>4312.9886410400004</v>
      </c>
      <c r="J91" s="170">
        <v>8854.8506240361712</v>
      </c>
      <c r="K91" s="170">
        <v>7374.18380695</v>
      </c>
      <c r="L91" s="170">
        <v>7802.5338801099997</v>
      </c>
      <c r="M91" s="170">
        <v>3305.8737185200002</v>
      </c>
      <c r="N91" s="170">
        <v>2356.8385522046301</v>
      </c>
      <c r="O91" s="170">
        <v>4777.076949427922</v>
      </c>
      <c r="P91" s="170">
        <v>6736.8234678500003</v>
      </c>
      <c r="Q91" s="170">
        <v>6982.0327231290003</v>
      </c>
      <c r="R91" s="170">
        <v>5581.3627317399996</v>
      </c>
      <c r="S91" s="170">
        <v>4429.0682710499996</v>
      </c>
      <c r="T91" s="170">
        <v>52700.961218500008</v>
      </c>
      <c r="U91" s="170">
        <v>22929.586572649994</v>
      </c>
      <c r="V91" s="170">
        <v>18054.728960680004</v>
      </c>
      <c r="W91" s="170">
        <v>15625.45498418</v>
      </c>
      <c r="X91" s="170">
        <v>11055.959790090003</v>
      </c>
      <c r="Y91" s="170">
        <v>7320.944248570001</v>
      </c>
      <c r="Z91" s="170">
        <v>8843.1176384500013</v>
      </c>
      <c r="AA91" s="170">
        <v>14156.137070950002</v>
      </c>
      <c r="AB91" s="170">
        <v>14816.107160379999</v>
      </c>
      <c r="AC91" s="170">
        <v>11685.836322710002</v>
      </c>
    </row>
    <row r="92" spans="1:29" ht="16.5" customHeight="1">
      <c r="A92" s="141" t="s">
        <v>462</v>
      </c>
      <c r="B92" s="170">
        <v>198.49171600000003</v>
      </c>
      <c r="C92" s="170">
        <v>258.72855276000001</v>
      </c>
      <c r="D92" s="170">
        <v>158.48433945000002</v>
      </c>
      <c r="E92" s="170">
        <v>123.32575027999999</v>
      </c>
      <c r="F92" s="170">
        <v>180.7964331</v>
      </c>
      <c r="G92" s="170">
        <v>186.45562327000002</v>
      </c>
      <c r="H92" s="170">
        <v>356.22128180999999</v>
      </c>
      <c r="I92" s="170">
        <v>111.36711799999999</v>
      </c>
      <c r="J92" s="170">
        <v>204.22493166000001</v>
      </c>
      <c r="K92" s="170">
        <v>341.56065279999996</v>
      </c>
      <c r="L92" s="170">
        <v>956.67903369999999</v>
      </c>
      <c r="M92" s="170">
        <v>446.15472183999998</v>
      </c>
      <c r="N92" s="170">
        <v>197.96069315999998</v>
      </c>
      <c r="O92" s="170">
        <v>488.83954065999995</v>
      </c>
      <c r="P92" s="170">
        <v>917.36120489000007</v>
      </c>
      <c r="Q92" s="170">
        <v>1316.6166372</v>
      </c>
      <c r="R92" s="170">
        <v>126.14947350000001</v>
      </c>
      <c r="S92" s="170">
        <v>640.54931453999995</v>
      </c>
      <c r="T92" s="170">
        <v>5177.3682181700005</v>
      </c>
      <c r="U92" s="170">
        <v>1820.0404725599999</v>
      </c>
      <c r="V92" s="170">
        <v>2039.0973776299995</v>
      </c>
      <c r="W92" s="170">
        <v>1141.7479478300004</v>
      </c>
      <c r="X92" s="170">
        <v>1144.1210262800003</v>
      </c>
      <c r="Y92" s="170">
        <v>657.4706639499999</v>
      </c>
      <c r="Z92" s="170">
        <v>820.85448315999997</v>
      </c>
      <c r="AA92" s="170">
        <v>2208.8822382100002</v>
      </c>
      <c r="AB92" s="170">
        <v>1570.1072810200003</v>
      </c>
      <c r="AC92" s="170">
        <v>589.56515513000011</v>
      </c>
    </row>
    <row r="93" spans="1:29" ht="16.5" customHeight="1">
      <c r="A93" s="141" t="s">
        <v>463</v>
      </c>
      <c r="B93" s="170">
        <v>0</v>
      </c>
      <c r="C93" s="170">
        <v>0</v>
      </c>
      <c r="D93" s="170">
        <v>13.661667609999999</v>
      </c>
      <c r="E93" s="170">
        <v>12.87529149</v>
      </c>
      <c r="F93" s="170">
        <v>88.098785590000006</v>
      </c>
      <c r="G93" s="170">
        <v>147.59700000000001</v>
      </c>
      <c r="H93" s="170">
        <v>259.18525893000003</v>
      </c>
      <c r="I93" s="170">
        <v>347.13118628000007</v>
      </c>
      <c r="J93" s="170">
        <v>267.54099099000001</v>
      </c>
      <c r="K93" s="170">
        <v>484.91776163000009</v>
      </c>
      <c r="L93" s="170">
        <v>27.491789139999998</v>
      </c>
      <c r="M93" s="170">
        <v>28.368866219999994</v>
      </c>
      <c r="N93" s="170">
        <v>-86.96027758999999</v>
      </c>
      <c r="O93" s="170">
        <v>-0.33850131000000272</v>
      </c>
      <c r="P93" s="170">
        <v>23.595083590000005</v>
      </c>
      <c r="Q93" s="170">
        <v>65.535622889999999</v>
      </c>
      <c r="R93" s="170">
        <v>332.12589901000013</v>
      </c>
      <c r="S93" s="170">
        <v>70.805446540000005</v>
      </c>
      <c r="T93" s="170">
        <v>2499.3957907000004</v>
      </c>
      <c r="U93" s="170">
        <v>2968.9994368900002</v>
      </c>
      <c r="V93" s="170">
        <v>2175.5485460199998</v>
      </c>
      <c r="W93" s="170">
        <v>1578.1544658000003</v>
      </c>
      <c r="X93" s="170">
        <v>1571.7534718899997</v>
      </c>
      <c r="Y93" s="170">
        <v>835.54952192000007</v>
      </c>
      <c r="Z93" s="170">
        <v>2339.2728317199999</v>
      </c>
      <c r="AA93" s="170">
        <v>4370.0662863500002</v>
      </c>
      <c r="AB93" s="170">
        <v>3474.8957181199999</v>
      </c>
      <c r="AC93" s="170">
        <v>2750.7357383500002</v>
      </c>
    </row>
    <row r="94" spans="1:29" ht="16.5" customHeight="1">
      <c r="A94" s="141" t="s">
        <v>464</v>
      </c>
      <c r="B94" s="170">
        <v>788.56921985000008</v>
      </c>
      <c r="C94" s="170">
        <v>499.51719445000003</v>
      </c>
      <c r="D94" s="170">
        <v>281.83357521999994</v>
      </c>
      <c r="E94" s="170">
        <v>465.28846185000003</v>
      </c>
      <c r="F94" s="170">
        <v>351.51995906999991</v>
      </c>
      <c r="G94" s="170">
        <v>-443.84295333</v>
      </c>
      <c r="H94" s="170">
        <v>396.07968976999996</v>
      </c>
      <c r="I94" s="170">
        <v>236.98316797999999</v>
      </c>
      <c r="J94" s="170">
        <v>1097.952075296173</v>
      </c>
      <c r="K94" s="170">
        <v>1159.36802687</v>
      </c>
      <c r="L94" s="170">
        <v>1087.6939600400001</v>
      </c>
      <c r="M94" s="170">
        <v>786.58726532000003</v>
      </c>
      <c r="N94" s="170">
        <v>3348.5451200900002</v>
      </c>
      <c r="O94" s="170">
        <v>2563.3199459600005</v>
      </c>
      <c r="P94" s="170">
        <v>465.16150640000001</v>
      </c>
      <c r="Q94" s="170">
        <v>548.72078404000001</v>
      </c>
      <c r="R94" s="170">
        <v>275.19239739999989</v>
      </c>
      <c r="S94" s="170">
        <v>911.48304453000014</v>
      </c>
      <c r="T94" s="170">
        <v>972.96010625999986</v>
      </c>
      <c r="U94" s="170">
        <v>239.63498039000004</v>
      </c>
      <c r="V94" s="170">
        <v>345.32558627000003</v>
      </c>
      <c r="W94" s="170">
        <v>949.96800691999977</v>
      </c>
      <c r="X94" s="170">
        <v>297.30725620999999</v>
      </c>
      <c r="Y94" s="170">
        <v>161.79754509000003</v>
      </c>
      <c r="Z94" s="170">
        <v>146.39599898</v>
      </c>
      <c r="AA94" s="170">
        <v>106.40132315</v>
      </c>
      <c r="AB94" s="170">
        <v>113.59331207</v>
      </c>
      <c r="AC94" s="170">
        <v>183.58207245000003</v>
      </c>
    </row>
    <row r="95" spans="1:29" ht="16.5" customHeight="1">
      <c r="A95" s="142" t="s">
        <v>465</v>
      </c>
      <c r="B95" s="170">
        <v>233.200423</v>
      </c>
      <c r="C95" s="170">
        <v>28.420273000000002</v>
      </c>
      <c r="D95" s="170">
        <v>9.7966759999999997</v>
      </c>
      <c r="E95" s="170">
        <v>3.1501504799999993</v>
      </c>
      <c r="F95" s="170">
        <v>2.6505821300000001</v>
      </c>
      <c r="G95" s="170">
        <v>13.448627909999999</v>
      </c>
      <c r="H95" s="170">
        <v>16.437559999999998</v>
      </c>
      <c r="I95" s="170">
        <v>5.4110443100000003</v>
      </c>
      <c r="J95" s="170">
        <v>6.7059800599999999</v>
      </c>
      <c r="K95" s="170">
        <v>3.2886118399999997</v>
      </c>
      <c r="L95" s="170">
        <v>30.914387979999997</v>
      </c>
      <c r="M95" s="170">
        <v>7.770023179999999</v>
      </c>
      <c r="N95" s="170">
        <v>11.507296</v>
      </c>
      <c r="O95" s="170">
        <v>88.682629500000004</v>
      </c>
      <c r="P95" s="170">
        <v>76.715821380000008</v>
      </c>
      <c r="Q95" s="170">
        <v>173.7024365</v>
      </c>
      <c r="R95" s="170">
        <v>85.620497560000018</v>
      </c>
      <c r="S95" s="170">
        <v>7.6202004799999994</v>
      </c>
      <c r="T95" s="170">
        <v>300.95393543</v>
      </c>
      <c r="U95" s="170">
        <v>81.196354769999999</v>
      </c>
      <c r="V95" s="170">
        <v>74.049277770000003</v>
      </c>
      <c r="W95" s="170">
        <v>53.559897629999995</v>
      </c>
      <c r="X95" s="170">
        <v>23.966277670000004</v>
      </c>
      <c r="Y95" s="170">
        <v>24.422310870000004</v>
      </c>
      <c r="Z95" s="170">
        <v>8.5421704500000004</v>
      </c>
      <c r="AA95" s="170">
        <v>19.013103099999995</v>
      </c>
      <c r="AB95" s="170">
        <v>4.0180348499999994</v>
      </c>
      <c r="AC95" s="170">
        <v>1.4835407999999999</v>
      </c>
    </row>
    <row r="96" spans="1:29" ht="16.5" customHeight="1">
      <c r="A96" s="142" t="s">
        <v>466</v>
      </c>
      <c r="B96" s="170">
        <v>555.36879684999985</v>
      </c>
      <c r="C96" s="170">
        <v>288.85134645000005</v>
      </c>
      <c r="D96" s="170">
        <v>193.29786801</v>
      </c>
      <c r="E96" s="170">
        <v>379.14621136000005</v>
      </c>
      <c r="F96" s="170">
        <v>228.41930565000004</v>
      </c>
      <c r="G96" s="170">
        <v>-575.17134957999997</v>
      </c>
      <c r="H96" s="170">
        <v>353.87225874000001</v>
      </c>
      <c r="I96" s="170">
        <v>216.96100637999999</v>
      </c>
      <c r="J96" s="170">
        <v>855.2833557461729</v>
      </c>
      <c r="K96" s="170">
        <v>249.97324852000008</v>
      </c>
      <c r="L96" s="170">
        <v>-124.34275645999995</v>
      </c>
      <c r="M96" s="170">
        <v>-157.09908723999999</v>
      </c>
      <c r="N96" s="170">
        <v>2411.3915135300003</v>
      </c>
      <c r="O96" s="170">
        <v>1115.6193053599998</v>
      </c>
      <c r="P96" s="170">
        <v>-440.92796896999982</v>
      </c>
      <c r="Q96" s="170">
        <v>-66.265013089999997</v>
      </c>
      <c r="R96" s="170">
        <v>37.231092409999931</v>
      </c>
      <c r="S96" s="170">
        <v>453.91650218000007</v>
      </c>
      <c r="T96" s="170">
        <v>157.03966246000002</v>
      </c>
      <c r="U96" s="170">
        <v>108.47116245999999</v>
      </c>
      <c r="V96" s="170">
        <v>108.68495732</v>
      </c>
      <c r="W96" s="170">
        <v>471.90734499999996</v>
      </c>
      <c r="X96" s="170">
        <v>210.04215779</v>
      </c>
      <c r="Y96" s="170">
        <v>136.63366894000001</v>
      </c>
      <c r="Z96" s="170">
        <v>137.85382852999999</v>
      </c>
      <c r="AA96" s="170">
        <v>87.388220050000001</v>
      </c>
      <c r="AB96" s="170">
        <v>109.57527722</v>
      </c>
      <c r="AC96" s="170">
        <v>182.09853165000001</v>
      </c>
    </row>
    <row r="97" spans="1:29" ht="16.5" customHeight="1">
      <c r="A97" s="142" t="s">
        <v>467</v>
      </c>
      <c r="B97" s="170">
        <v>0</v>
      </c>
      <c r="C97" s="170">
        <v>182.245575</v>
      </c>
      <c r="D97" s="170">
        <v>78.739031210000007</v>
      </c>
      <c r="E97" s="170">
        <v>82.992100010000001</v>
      </c>
      <c r="F97" s="170">
        <v>120.45007129</v>
      </c>
      <c r="G97" s="170">
        <v>117.87976833999998</v>
      </c>
      <c r="H97" s="170">
        <v>25.769871030000001</v>
      </c>
      <c r="I97" s="170">
        <v>14.611117289999999</v>
      </c>
      <c r="J97" s="170">
        <v>235.96273948999999</v>
      </c>
      <c r="K97" s="170">
        <v>906.10616651000009</v>
      </c>
      <c r="L97" s="170">
        <v>1181.1223285199999</v>
      </c>
      <c r="M97" s="170">
        <v>935.91632938000009</v>
      </c>
      <c r="N97" s="170">
        <v>925.64631055999996</v>
      </c>
      <c r="O97" s="170">
        <v>1359.0180111</v>
      </c>
      <c r="P97" s="170">
        <v>829.37365398999998</v>
      </c>
      <c r="Q97" s="170">
        <v>441.28336063</v>
      </c>
      <c r="R97" s="170">
        <v>152.34080743000001</v>
      </c>
      <c r="S97" s="170">
        <v>449.94634186999997</v>
      </c>
      <c r="T97" s="170">
        <v>514.96650837000004</v>
      </c>
      <c r="U97" s="170">
        <v>49.967463160000001</v>
      </c>
      <c r="V97" s="170">
        <v>162.59135118</v>
      </c>
      <c r="W97" s="170">
        <v>424.50076428999995</v>
      </c>
      <c r="X97" s="170">
        <v>63.29882074999999</v>
      </c>
      <c r="Y97" s="170">
        <v>0.7415652800000001</v>
      </c>
      <c r="Z97" s="170">
        <v>0</v>
      </c>
      <c r="AA97" s="170">
        <v>0</v>
      </c>
      <c r="AB97" s="170">
        <v>0</v>
      </c>
      <c r="AC97" s="170">
        <v>0</v>
      </c>
    </row>
    <row r="98" spans="1:29" ht="16.5" customHeight="1">
      <c r="A98" s="141" t="s">
        <v>468</v>
      </c>
      <c r="B98" s="170">
        <v>63.275109620000009</v>
      </c>
      <c r="C98" s="170">
        <v>171.94851131000004</v>
      </c>
      <c r="D98" s="170">
        <v>287.70293434999996</v>
      </c>
      <c r="E98" s="170">
        <v>324.46123466</v>
      </c>
      <c r="F98" s="170">
        <v>496.56452246999999</v>
      </c>
      <c r="G98" s="170">
        <v>596.41458510999996</v>
      </c>
      <c r="H98" s="170">
        <v>978.40391907000003</v>
      </c>
      <c r="I98" s="170">
        <v>1121.87698303</v>
      </c>
      <c r="J98" s="170">
        <v>814.09180584000001</v>
      </c>
      <c r="K98" s="170">
        <v>1099.6428138800002</v>
      </c>
      <c r="L98" s="170">
        <v>900.49367940000002</v>
      </c>
      <c r="M98" s="170">
        <v>894.98564795000004</v>
      </c>
      <c r="N98" s="170">
        <v>904.62888282999995</v>
      </c>
      <c r="O98" s="170">
        <v>55.68918027999996</v>
      </c>
      <c r="P98" s="170">
        <v>2312.5393088000001</v>
      </c>
      <c r="Q98" s="170">
        <v>1676.7727671900009</v>
      </c>
      <c r="R98" s="170">
        <v>1618.0510479399995</v>
      </c>
      <c r="S98" s="170">
        <v>504.47691065000015</v>
      </c>
      <c r="T98" s="170">
        <v>9908.4689980199983</v>
      </c>
      <c r="U98" s="170">
        <v>5109.9572155900005</v>
      </c>
      <c r="V98" s="170">
        <v>4071.8353471900004</v>
      </c>
      <c r="W98" s="170">
        <v>2868.0518638499998</v>
      </c>
      <c r="X98" s="170">
        <v>2661.239848019999</v>
      </c>
      <c r="Y98" s="170">
        <v>2269.6856485800004</v>
      </c>
      <c r="Z98" s="170">
        <v>2706.1095813099996</v>
      </c>
      <c r="AA98" s="170">
        <v>5502.8754063599999</v>
      </c>
      <c r="AB98" s="170">
        <v>5741.5504279100005</v>
      </c>
      <c r="AC98" s="170">
        <v>5169.2066746400005</v>
      </c>
    </row>
    <row r="99" spans="1:29" ht="16.5" customHeight="1">
      <c r="A99" s="142" t="s">
        <v>469</v>
      </c>
      <c r="B99" s="170">
        <v>0</v>
      </c>
      <c r="C99" s="170">
        <v>0</v>
      </c>
      <c r="D99" s="170">
        <v>0</v>
      </c>
      <c r="E99" s="170">
        <v>0</v>
      </c>
      <c r="F99" s="170">
        <v>0</v>
      </c>
      <c r="G99" s="170">
        <v>0</v>
      </c>
      <c r="H99" s="170">
        <v>569.37509546000001</v>
      </c>
      <c r="I99" s="170">
        <v>608.83714921000001</v>
      </c>
      <c r="J99" s="170">
        <v>762.29045745000008</v>
      </c>
      <c r="K99" s="170">
        <v>1088.67376539</v>
      </c>
      <c r="L99" s="170">
        <v>566.31851936999999</v>
      </c>
      <c r="M99" s="170">
        <v>625.31461675000003</v>
      </c>
      <c r="N99" s="170">
        <v>767.8697970799999</v>
      </c>
      <c r="O99" s="170">
        <v>323.85561783999998</v>
      </c>
      <c r="P99" s="170">
        <v>2199.8116046099999</v>
      </c>
      <c r="Q99" s="170">
        <v>2365.2316459200006</v>
      </c>
      <c r="R99" s="170">
        <v>1714.95410614</v>
      </c>
      <c r="S99" s="170">
        <v>470.15505939999997</v>
      </c>
      <c r="T99" s="170">
        <v>10031.0202123</v>
      </c>
      <c r="U99" s="170">
        <v>5375.2652072000001</v>
      </c>
      <c r="V99" s="170">
        <v>4094.1364660100003</v>
      </c>
      <c r="W99" s="170">
        <v>2902.7381189799994</v>
      </c>
      <c r="X99" s="170">
        <v>2688.7652491599993</v>
      </c>
      <c r="Y99" s="170">
        <v>2299.6631321000004</v>
      </c>
      <c r="Z99" s="170">
        <v>2725.1656091600007</v>
      </c>
      <c r="AA99" s="170">
        <v>5544.5813870499996</v>
      </c>
      <c r="AB99" s="170">
        <v>5798.6531589900005</v>
      </c>
      <c r="AC99" s="170">
        <v>5053.3743595999995</v>
      </c>
    </row>
    <row r="100" spans="1:29" ht="16.5" customHeight="1">
      <c r="A100" s="142" t="s">
        <v>470</v>
      </c>
      <c r="B100" s="170">
        <v>0</v>
      </c>
      <c r="C100" s="170">
        <v>0</v>
      </c>
      <c r="D100" s="170">
        <v>0</v>
      </c>
      <c r="E100" s="170">
        <v>0</v>
      </c>
      <c r="F100" s="170">
        <v>0</v>
      </c>
      <c r="G100" s="170">
        <v>0</v>
      </c>
      <c r="H100" s="170">
        <v>409.02882360999996</v>
      </c>
      <c r="I100" s="170">
        <v>513.0398338199999</v>
      </c>
      <c r="J100" s="170">
        <v>51.801348390000001</v>
      </c>
      <c r="K100" s="170">
        <v>10.969048489999979</v>
      </c>
      <c r="L100" s="170">
        <v>334.17516002999997</v>
      </c>
      <c r="M100" s="170">
        <v>269.67103120000002</v>
      </c>
      <c r="N100" s="170">
        <v>136.75908575</v>
      </c>
      <c r="O100" s="170">
        <v>-268.16643756000002</v>
      </c>
      <c r="P100" s="170">
        <v>112.72770419000001</v>
      </c>
      <c r="Q100" s="170">
        <v>-688.45887872999992</v>
      </c>
      <c r="R100" s="170">
        <v>-96.903058200000004</v>
      </c>
      <c r="S100" s="170">
        <v>34.321851250000023</v>
      </c>
      <c r="T100" s="170">
        <v>-122.55121428000001</v>
      </c>
      <c r="U100" s="170">
        <v>-265.30799160999987</v>
      </c>
      <c r="V100" s="170">
        <v>-22.301118819999989</v>
      </c>
      <c r="W100" s="170">
        <v>-34.686255130000006</v>
      </c>
      <c r="X100" s="170">
        <v>-27.52540114</v>
      </c>
      <c r="Y100" s="170">
        <v>-29.977483520000003</v>
      </c>
      <c r="Z100" s="170">
        <v>-19.05602785</v>
      </c>
      <c r="AA100" s="170">
        <v>-41.705980690000018</v>
      </c>
      <c r="AB100" s="170">
        <v>-57.102731079999998</v>
      </c>
      <c r="AC100" s="170">
        <v>115.83231503999998</v>
      </c>
    </row>
    <row r="101" spans="1:29" ht="16.5" customHeight="1">
      <c r="A101" s="142" t="s">
        <v>471</v>
      </c>
      <c r="B101" s="170">
        <v>0</v>
      </c>
      <c r="C101" s="170">
        <v>0</v>
      </c>
      <c r="D101" s="170">
        <v>0</v>
      </c>
      <c r="E101" s="170">
        <v>0</v>
      </c>
      <c r="F101" s="170">
        <v>0</v>
      </c>
      <c r="G101" s="170">
        <v>0</v>
      </c>
      <c r="H101" s="170">
        <v>0</v>
      </c>
      <c r="I101" s="170">
        <v>0</v>
      </c>
      <c r="J101" s="170">
        <v>0</v>
      </c>
      <c r="K101" s="170">
        <v>0</v>
      </c>
      <c r="L101" s="170">
        <v>0</v>
      </c>
      <c r="M101" s="170">
        <v>0</v>
      </c>
      <c r="N101" s="170">
        <v>0</v>
      </c>
      <c r="O101" s="170">
        <v>0</v>
      </c>
      <c r="P101" s="170">
        <v>0</v>
      </c>
      <c r="Q101" s="170">
        <v>0</v>
      </c>
      <c r="R101" s="170">
        <v>0</v>
      </c>
      <c r="S101" s="170">
        <v>0</v>
      </c>
      <c r="T101" s="170">
        <v>0</v>
      </c>
      <c r="U101" s="170">
        <v>0</v>
      </c>
      <c r="V101" s="170">
        <v>0</v>
      </c>
      <c r="W101" s="170">
        <v>0</v>
      </c>
      <c r="X101" s="170">
        <v>0</v>
      </c>
      <c r="Y101" s="170">
        <v>0</v>
      </c>
      <c r="Z101" s="170">
        <v>0</v>
      </c>
      <c r="AA101" s="170">
        <v>0</v>
      </c>
      <c r="AB101" s="170">
        <v>0</v>
      </c>
      <c r="AC101" s="170">
        <v>0</v>
      </c>
    </row>
    <row r="102" spans="1:29" ht="16.5" customHeight="1">
      <c r="A102" s="141" t="s">
        <v>472</v>
      </c>
      <c r="B102" s="170">
        <v>302.04073800000003</v>
      </c>
      <c r="C102" s="170">
        <v>615.94403684999997</v>
      </c>
      <c r="D102" s="170">
        <v>816.48865724000007</v>
      </c>
      <c r="E102" s="170">
        <v>855.98104210999998</v>
      </c>
      <c r="F102" s="170">
        <v>1291.6611733899999</v>
      </c>
      <c r="G102" s="170">
        <v>465.16620569000003</v>
      </c>
      <c r="H102" s="170">
        <v>846.96124787999997</v>
      </c>
      <c r="I102" s="170">
        <v>547.72877563999998</v>
      </c>
      <c r="J102" s="170">
        <v>665.93702682999992</v>
      </c>
      <c r="K102" s="170">
        <v>552.26969412999995</v>
      </c>
      <c r="L102" s="170">
        <v>234.13805269999995</v>
      </c>
      <c r="M102" s="170">
        <v>116.45605503</v>
      </c>
      <c r="N102" s="170">
        <v>45.865659740000012</v>
      </c>
      <c r="O102" s="170">
        <v>-105.03785999000003</v>
      </c>
      <c r="P102" s="170">
        <v>325.50906996999998</v>
      </c>
      <c r="Q102" s="170">
        <v>366.33977910900001</v>
      </c>
      <c r="R102" s="170">
        <v>226.42744354999994</v>
      </c>
      <c r="S102" s="170">
        <v>628.92072593</v>
      </c>
      <c r="T102" s="170">
        <v>346.70853782000029</v>
      </c>
      <c r="U102" s="170">
        <v>699.84219454999993</v>
      </c>
      <c r="V102" s="170">
        <v>378.76146060000013</v>
      </c>
      <c r="W102" s="170">
        <v>637.64402797999992</v>
      </c>
      <c r="X102" s="170">
        <v>303.98757142999938</v>
      </c>
      <c r="Y102" s="170">
        <v>372.19249859000001</v>
      </c>
      <c r="Z102" s="170">
        <v>805.42681254000013</v>
      </c>
      <c r="AA102" s="170">
        <v>427.06149742999997</v>
      </c>
      <c r="AB102" s="170">
        <v>414.5833689800001</v>
      </c>
      <c r="AC102" s="170">
        <v>518.16661119000003</v>
      </c>
    </row>
    <row r="103" spans="1:29" ht="16.5" customHeight="1">
      <c r="A103" s="142" t="s">
        <v>473</v>
      </c>
      <c r="B103" s="170">
        <v>0</v>
      </c>
      <c r="C103" s="170">
        <v>0</v>
      </c>
      <c r="D103" s="170">
        <v>0</v>
      </c>
      <c r="E103" s="170">
        <v>0</v>
      </c>
      <c r="F103" s="170">
        <v>0</v>
      </c>
      <c r="G103" s="170">
        <v>0</v>
      </c>
      <c r="H103" s="170">
        <v>917.30112499999996</v>
      </c>
      <c r="I103" s="170">
        <v>483.76312739000002</v>
      </c>
      <c r="J103" s="170">
        <v>608.71744939000007</v>
      </c>
      <c r="K103" s="170">
        <v>448.80978587999999</v>
      </c>
      <c r="L103" s="170">
        <v>382.91753040999993</v>
      </c>
      <c r="M103" s="170">
        <v>307.12380707</v>
      </c>
      <c r="N103" s="170">
        <v>394.29549371999997</v>
      </c>
      <c r="O103" s="170">
        <v>231.73068054999999</v>
      </c>
      <c r="P103" s="170">
        <v>404.94794307000001</v>
      </c>
      <c r="Q103" s="170">
        <v>588.35763854999993</v>
      </c>
      <c r="R103" s="170">
        <v>584.63957462999997</v>
      </c>
      <c r="S103" s="170">
        <v>859.87000245000002</v>
      </c>
      <c r="T103" s="170">
        <v>778.36141568999994</v>
      </c>
      <c r="U103" s="170">
        <v>664.28439225</v>
      </c>
      <c r="V103" s="170">
        <v>620.74424307000004</v>
      </c>
      <c r="W103" s="170">
        <v>874.82931684999983</v>
      </c>
      <c r="X103" s="170">
        <v>266.33652097000004</v>
      </c>
      <c r="Y103" s="170">
        <v>308.80394038999998</v>
      </c>
      <c r="Z103" s="170">
        <v>576.11180646000003</v>
      </c>
      <c r="AA103" s="170">
        <v>388.44271768999994</v>
      </c>
      <c r="AB103" s="170">
        <v>496.44898695000006</v>
      </c>
      <c r="AC103" s="170">
        <v>630.13373574000002</v>
      </c>
    </row>
    <row r="104" spans="1:29" ht="16.5" customHeight="1">
      <c r="A104" s="142" t="s">
        <v>474</v>
      </c>
      <c r="B104" s="170">
        <v>0</v>
      </c>
      <c r="C104" s="170">
        <v>0</v>
      </c>
      <c r="D104" s="170">
        <v>0</v>
      </c>
      <c r="E104" s="170">
        <v>0</v>
      </c>
      <c r="F104" s="170">
        <v>0</v>
      </c>
      <c r="G104" s="170">
        <v>0</v>
      </c>
      <c r="H104" s="170">
        <v>-70.339877119999983</v>
      </c>
      <c r="I104" s="170">
        <v>63.965648250000001</v>
      </c>
      <c r="J104" s="170">
        <v>57.219577439999924</v>
      </c>
      <c r="K104" s="170">
        <v>103.45990824999998</v>
      </c>
      <c r="L104" s="170">
        <v>-148.77947771000001</v>
      </c>
      <c r="M104" s="170">
        <v>-190.66775203999998</v>
      </c>
      <c r="N104" s="170">
        <v>-348.42983398000001</v>
      </c>
      <c r="O104" s="170">
        <v>-336.76854053999995</v>
      </c>
      <c r="P104" s="170">
        <v>-79.438873100000009</v>
      </c>
      <c r="Q104" s="170">
        <v>-222.01785944100004</v>
      </c>
      <c r="R104" s="170">
        <v>-358.21213108000006</v>
      </c>
      <c r="S104" s="170">
        <v>-230.94927651999996</v>
      </c>
      <c r="T104" s="170">
        <v>-431.65287786999977</v>
      </c>
      <c r="U104" s="170">
        <v>35.557802299999949</v>
      </c>
      <c r="V104" s="170">
        <v>-241.98278246999985</v>
      </c>
      <c r="W104" s="170">
        <v>-237.18528886999985</v>
      </c>
      <c r="X104" s="170">
        <v>37.651050459999333</v>
      </c>
      <c r="Y104" s="170">
        <v>63.388558199999999</v>
      </c>
      <c r="Z104" s="170">
        <v>229.3150060800001</v>
      </c>
      <c r="AA104" s="170">
        <v>38.618779739999951</v>
      </c>
      <c r="AB104" s="170">
        <v>-81.865617969999946</v>
      </c>
      <c r="AC104" s="170">
        <v>-111.96712454999997</v>
      </c>
    </row>
    <row r="105" spans="1:29" ht="16.5" customHeight="1">
      <c r="A105" s="141" t="s">
        <v>475</v>
      </c>
      <c r="B105" s="170">
        <v>0</v>
      </c>
      <c r="C105" s="170">
        <v>0</v>
      </c>
      <c r="D105" s="170">
        <v>0</v>
      </c>
      <c r="E105" s="170">
        <v>11.317817010000001</v>
      </c>
      <c r="F105" s="170">
        <v>44.51845806</v>
      </c>
      <c r="G105" s="170">
        <v>0</v>
      </c>
      <c r="H105" s="170">
        <v>182.09088998999999</v>
      </c>
      <c r="I105" s="170">
        <v>135.67701549</v>
      </c>
      <c r="J105" s="170">
        <v>1129.39121191</v>
      </c>
      <c r="K105" s="170">
        <v>428.56721922000003</v>
      </c>
      <c r="L105" s="170">
        <v>541.71270295000011</v>
      </c>
      <c r="M105" s="170">
        <v>475.78139818</v>
      </c>
      <c r="N105" s="170">
        <v>458.52032008000026</v>
      </c>
      <c r="O105" s="170">
        <v>458.43629130999989</v>
      </c>
      <c r="P105" s="170">
        <v>829.47185394999997</v>
      </c>
      <c r="Q105" s="170">
        <v>390.65648599999997</v>
      </c>
      <c r="R105" s="170">
        <v>785.92927358999998</v>
      </c>
      <c r="S105" s="170">
        <v>355.52624287999993</v>
      </c>
      <c r="T105" s="170">
        <v>300.85137948000005</v>
      </c>
      <c r="U105" s="170">
        <v>622.74553174000005</v>
      </c>
      <c r="V105" s="170">
        <v>195.41833288000001</v>
      </c>
      <c r="W105" s="170">
        <v>1832.2557340600001</v>
      </c>
      <c r="X105" s="170">
        <v>1044.97890366</v>
      </c>
      <c r="Y105" s="170">
        <v>533.44004639000002</v>
      </c>
      <c r="Z105" s="170">
        <v>712.02963324000007</v>
      </c>
      <c r="AA105" s="170">
        <v>304.70454058000001</v>
      </c>
      <c r="AB105" s="170">
        <v>626.78116132999992</v>
      </c>
      <c r="AC105" s="170">
        <v>1201.5516105900001</v>
      </c>
    </row>
    <row r="106" spans="1:29" ht="16.5" customHeight="1">
      <c r="A106" s="141" t="s">
        <v>476</v>
      </c>
      <c r="B106" s="170">
        <v>0</v>
      </c>
      <c r="C106" s="170">
        <v>0</v>
      </c>
      <c r="D106" s="170">
        <v>0</v>
      </c>
      <c r="E106" s="170">
        <v>0</v>
      </c>
      <c r="F106" s="170">
        <v>0</v>
      </c>
      <c r="G106" s="170">
        <v>0</v>
      </c>
      <c r="H106" s="170">
        <v>0</v>
      </c>
      <c r="I106" s="170">
        <v>0</v>
      </c>
      <c r="J106" s="170">
        <v>0</v>
      </c>
      <c r="K106" s="170">
        <v>0</v>
      </c>
      <c r="L106" s="170">
        <v>0</v>
      </c>
      <c r="M106" s="170">
        <v>0</v>
      </c>
      <c r="N106" s="170">
        <v>0</v>
      </c>
      <c r="O106" s="170">
        <v>0</v>
      </c>
      <c r="P106" s="170">
        <v>0.71576172999999998</v>
      </c>
      <c r="Q106" s="170">
        <v>0.71576172999999998</v>
      </c>
      <c r="R106" s="170">
        <v>0</v>
      </c>
      <c r="S106" s="170">
        <v>0</v>
      </c>
      <c r="T106" s="170">
        <v>48.915125320000001</v>
      </c>
      <c r="U106" s="170">
        <v>56.572994319999999</v>
      </c>
      <c r="V106" s="170">
        <v>46.039714920000009</v>
      </c>
      <c r="W106" s="170">
        <v>28.022647459999998</v>
      </c>
      <c r="X106" s="170">
        <v>14.735520919999999</v>
      </c>
      <c r="Y106" s="170">
        <v>2.3706482099999997</v>
      </c>
      <c r="Z106" s="170">
        <v>0</v>
      </c>
      <c r="AA106" s="170">
        <v>0</v>
      </c>
      <c r="AB106" s="170">
        <v>0</v>
      </c>
      <c r="AC106" s="170">
        <v>0</v>
      </c>
    </row>
    <row r="107" spans="1:29" ht="16.5" customHeight="1">
      <c r="A107" s="141" t="s">
        <v>477</v>
      </c>
      <c r="B107" s="170">
        <v>0</v>
      </c>
      <c r="C107" s="170">
        <v>0</v>
      </c>
      <c r="D107" s="170">
        <v>0</v>
      </c>
      <c r="E107" s="170">
        <v>0</v>
      </c>
      <c r="F107" s="170">
        <v>0</v>
      </c>
      <c r="G107" s="170">
        <v>0</v>
      </c>
      <c r="H107" s="170">
        <v>0</v>
      </c>
      <c r="I107" s="170">
        <v>1.1337098500000002</v>
      </c>
      <c r="J107" s="170">
        <v>1.1846735500000001</v>
      </c>
      <c r="K107" s="170">
        <v>1.1061545200000003</v>
      </c>
      <c r="L107" s="170">
        <v>0.29192585000000004</v>
      </c>
      <c r="M107" s="170">
        <v>0</v>
      </c>
      <c r="N107" s="170">
        <v>0.83631858999999986</v>
      </c>
      <c r="O107" s="170">
        <v>0</v>
      </c>
      <c r="P107" s="170">
        <v>0.14189336999999999</v>
      </c>
      <c r="Q107" s="170">
        <v>0.42791885999999996</v>
      </c>
      <c r="R107" s="170">
        <v>0</v>
      </c>
      <c r="S107" s="170">
        <v>0</v>
      </c>
      <c r="T107" s="170">
        <v>0</v>
      </c>
      <c r="U107" s="170">
        <v>0</v>
      </c>
      <c r="V107" s="170">
        <v>0</v>
      </c>
      <c r="W107" s="170">
        <v>29.637590029999998</v>
      </c>
      <c r="X107" s="170">
        <v>0</v>
      </c>
      <c r="Y107" s="170">
        <v>8.619262980000002</v>
      </c>
      <c r="Z107" s="170">
        <v>0</v>
      </c>
      <c r="AA107" s="170">
        <v>0</v>
      </c>
      <c r="AB107" s="170">
        <v>0</v>
      </c>
      <c r="AC107" s="170">
        <v>0</v>
      </c>
    </row>
    <row r="108" spans="1:29" ht="16.5" customHeight="1">
      <c r="A108" s="141" t="s">
        <v>478</v>
      </c>
      <c r="B108" s="170">
        <v>0</v>
      </c>
      <c r="C108" s="170">
        <v>0</v>
      </c>
      <c r="D108" s="170">
        <v>0</v>
      </c>
      <c r="E108" s="170">
        <v>0</v>
      </c>
      <c r="F108" s="170">
        <v>0</v>
      </c>
      <c r="G108" s="170">
        <v>56.658892909999992</v>
      </c>
      <c r="H108" s="170">
        <v>158.54594354</v>
      </c>
      <c r="I108" s="170">
        <v>360.29115982000002</v>
      </c>
      <c r="J108" s="170">
        <v>256.63795381</v>
      </c>
      <c r="K108" s="170">
        <v>284.84578536999993</v>
      </c>
      <c r="L108" s="170">
        <v>126.76913863</v>
      </c>
      <c r="M108" s="170">
        <v>332.161</v>
      </c>
      <c r="N108" s="170">
        <v>193.31671151</v>
      </c>
      <c r="O108" s="170">
        <v>0</v>
      </c>
      <c r="P108" s="170">
        <v>0</v>
      </c>
      <c r="Q108" s="170">
        <v>0</v>
      </c>
      <c r="R108" s="170">
        <v>0</v>
      </c>
      <c r="S108" s="170">
        <v>0</v>
      </c>
      <c r="T108" s="170">
        <v>0</v>
      </c>
      <c r="U108" s="170">
        <v>0</v>
      </c>
      <c r="V108" s="170">
        <v>0</v>
      </c>
      <c r="W108" s="170">
        <v>0</v>
      </c>
      <c r="X108" s="170">
        <v>0</v>
      </c>
      <c r="Y108" s="170">
        <v>0</v>
      </c>
      <c r="Z108" s="170">
        <v>0</v>
      </c>
      <c r="AA108" s="170">
        <v>0</v>
      </c>
      <c r="AB108" s="170">
        <v>0</v>
      </c>
      <c r="AC108" s="170">
        <v>0</v>
      </c>
    </row>
    <row r="109" spans="1:29" ht="16.5" customHeight="1">
      <c r="A109" s="141" t="s">
        <v>479</v>
      </c>
      <c r="B109" s="170">
        <v>421.35565199999996</v>
      </c>
      <c r="C109" s="170">
        <v>529.3265454299999</v>
      </c>
      <c r="D109" s="170">
        <v>311.02963700000009</v>
      </c>
      <c r="E109" s="170">
        <v>1125.4224199999999</v>
      </c>
      <c r="F109" s="170">
        <v>1093.3455938278526</v>
      </c>
      <c r="G109" s="170">
        <v>1072.3140000000001</v>
      </c>
      <c r="H109" s="170">
        <v>1928.40642927</v>
      </c>
      <c r="I109" s="170">
        <v>1241.7751999999998</v>
      </c>
      <c r="J109" s="170">
        <v>2699.3647499999997</v>
      </c>
      <c r="K109" s="170">
        <v>466.24700000000001</v>
      </c>
      <c r="L109" s="170">
        <v>1438.3820000000001</v>
      </c>
      <c r="M109" s="170">
        <v>0</v>
      </c>
      <c r="N109" s="170">
        <v>0</v>
      </c>
      <c r="O109" s="170">
        <v>0</v>
      </c>
      <c r="P109" s="170">
        <v>0</v>
      </c>
      <c r="Q109" s="170">
        <v>0</v>
      </c>
      <c r="R109" s="170">
        <v>0</v>
      </c>
      <c r="S109" s="170">
        <v>0</v>
      </c>
      <c r="T109" s="170">
        <v>1506.23299924</v>
      </c>
      <c r="U109" s="170">
        <v>0</v>
      </c>
      <c r="V109" s="170">
        <v>0</v>
      </c>
      <c r="W109" s="170">
        <v>0</v>
      </c>
      <c r="X109" s="170">
        <v>0</v>
      </c>
      <c r="Y109" s="170">
        <v>0</v>
      </c>
      <c r="Z109" s="170">
        <v>0</v>
      </c>
      <c r="AA109" s="170">
        <v>0</v>
      </c>
      <c r="AB109" s="170">
        <v>0</v>
      </c>
      <c r="AC109" s="170">
        <v>0</v>
      </c>
    </row>
    <row r="110" spans="1:29" ht="16.5" customHeight="1">
      <c r="A110" s="141" t="s">
        <v>480</v>
      </c>
      <c r="B110" s="170">
        <v>0</v>
      </c>
      <c r="C110" s="170">
        <v>0</v>
      </c>
      <c r="D110" s="170">
        <v>0</v>
      </c>
      <c r="E110" s="170">
        <v>0</v>
      </c>
      <c r="F110" s="170">
        <v>0</v>
      </c>
      <c r="G110" s="170">
        <v>0</v>
      </c>
      <c r="H110" s="170">
        <v>0</v>
      </c>
      <c r="I110" s="170">
        <v>269.29422950999998</v>
      </c>
      <c r="J110" s="170">
        <v>545.0500667</v>
      </c>
      <c r="K110" s="170">
        <v>963.08507903000009</v>
      </c>
      <c r="L110" s="170">
        <v>1521.82803236</v>
      </c>
      <c r="M110" s="170">
        <v>963.00715491000005</v>
      </c>
      <c r="N110" s="170">
        <v>864.86307053000007</v>
      </c>
      <c r="O110" s="170">
        <v>738.74594007999985</v>
      </c>
      <c r="P110" s="170">
        <v>706.29290687000002</v>
      </c>
      <c r="Q110" s="170">
        <v>451.01061012000002</v>
      </c>
      <c r="R110" s="170">
        <v>66.542247550000013</v>
      </c>
      <c r="S110" s="170">
        <v>45.220222210000003</v>
      </c>
      <c r="T110" s="170">
        <v>62.104696359999991</v>
      </c>
      <c r="U110" s="170">
        <v>95.272756510000008</v>
      </c>
      <c r="V110" s="170">
        <v>138.12195900000003</v>
      </c>
      <c r="W110" s="170">
        <v>440.01014069000007</v>
      </c>
      <c r="X110" s="170">
        <v>245.48553243999999</v>
      </c>
      <c r="Y110" s="170">
        <v>228.04008472999999</v>
      </c>
      <c r="Z110" s="170">
        <v>293.64260273999992</v>
      </c>
      <c r="AA110" s="170">
        <v>261.56714793999998</v>
      </c>
      <c r="AB110" s="170">
        <v>458.13234428999993</v>
      </c>
      <c r="AC110" s="170">
        <v>312.38024693000006</v>
      </c>
    </row>
    <row r="111" spans="1:29" ht="16.5" customHeight="1">
      <c r="A111" s="141" t="s">
        <v>481</v>
      </c>
      <c r="B111" s="170">
        <v>0</v>
      </c>
      <c r="C111" s="170">
        <v>0</v>
      </c>
      <c r="D111" s="170">
        <v>0</v>
      </c>
      <c r="E111" s="170">
        <v>0</v>
      </c>
      <c r="F111" s="170">
        <v>0</v>
      </c>
      <c r="G111" s="170">
        <v>0</v>
      </c>
      <c r="H111" s="170">
        <v>0</v>
      </c>
      <c r="I111" s="170">
        <v>0</v>
      </c>
      <c r="J111" s="170">
        <v>0</v>
      </c>
      <c r="K111" s="170">
        <v>0</v>
      </c>
      <c r="L111" s="170">
        <v>2.5493341000000003</v>
      </c>
      <c r="M111" s="170">
        <v>23.678828490000004</v>
      </c>
      <c r="N111" s="170">
        <v>52.951253159999986</v>
      </c>
      <c r="O111" s="170">
        <v>82.715496600000009</v>
      </c>
      <c r="P111" s="170">
        <v>65.605971749999995</v>
      </c>
      <c r="Q111" s="170">
        <v>74.519600600000004</v>
      </c>
      <c r="R111" s="170">
        <v>68.230592920000007</v>
      </c>
      <c r="S111" s="170">
        <v>103.94126111</v>
      </c>
      <c r="T111" s="170">
        <v>101.23379421</v>
      </c>
      <c r="U111" s="170">
        <v>110.11767005</v>
      </c>
      <c r="V111" s="170">
        <v>112.70747711</v>
      </c>
      <c r="W111" s="170">
        <v>107.37694293000001</v>
      </c>
      <c r="X111" s="170">
        <v>42.695592770000005</v>
      </c>
      <c r="Y111" s="170">
        <v>5.8700092899999996</v>
      </c>
      <c r="Z111" s="170">
        <v>9.2491491400000001</v>
      </c>
      <c r="AA111" s="170">
        <v>0.49756465000000005</v>
      </c>
      <c r="AB111" s="170">
        <v>0</v>
      </c>
      <c r="AC111" s="170">
        <v>0</v>
      </c>
    </row>
    <row r="112" spans="1:29" ht="16.5" customHeight="1">
      <c r="A112" s="141" t="s">
        <v>482</v>
      </c>
      <c r="B112" s="170">
        <v>0</v>
      </c>
      <c r="C112" s="170">
        <v>0</v>
      </c>
      <c r="D112" s="170">
        <v>0</v>
      </c>
      <c r="E112" s="170">
        <v>0</v>
      </c>
      <c r="F112" s="170">
        <v>0</v>
      </c>
      <c r="G112" s="170">
        <v>0</v>
      </c>
      <c r="H112" s="170">
        <v>0</v>
      </c>
      <c r="I112" s="170">
        <v>0</v>
      </c>
      <c r="J112" s="170">
        <v>0</v>
      </c>
      <c r="K112" s="170">
        <v>0</v>
      </c>
      <c r="L112" s="170">
        <v>0</v>
      </c>
      <c r="M112" s="170">
        <v>0</v>
      </c>
      <c r="N112" s="170">
        <v>58.672732790000005</v>
      </c>
      <c r="O112" s="170">
        <v>0</v>
      </c>
      <c r="P112" s="170">
        <v>25.695410299999999</v>
      </c>
      <c r="Q112" s="170">
        <v>57.311219639999997</v>
      </c>
      <c r="R112" s="170">
        <v>6.8646168899999997</v>
      </c>
      <c r="S112" s="170">
        <v>2.84392551</v>
      </c>
      <c r="T112" s="170">
        <v>2.3630917499999997</v>
      </c>
      <c r="U112" s="170">
        <v>25.965462540000001</v>
      </c>
      <c r="V112" s="170">
        <v>16.302164140000002</v>
      </c>
      <c r="W112" s="170">
        <v>9.1934046999999985</v>
      </c>
      <c r="X112" s="170">
        <v>5.6074580900000006</v>
      </c>
      <c r="Y112" s="170">
        <v>1.02350326</v>
      </c>
      <c r="Z112" s="170">
        <v>0.11147726999999999</v>
      </c>
      <c r="AA112" s="170">
        <v>0</v>
      </c>
      <c r="AB112" s="170">
        <v>1.912544E-2</v>
      </c>
      <c r="AC112" s="170">
        <v>0.47485118999999998</v>
      </c>
    </row>
    <row r="113" spans="1:29" ht="16.5" customHeight="1">
      <c r="A113" s="141" t="s">
        <v>483</v>
      </c>
      <c r="B113" s="170">
        <v>0</v>
      </c>
      <c r="C113" s="170">
        <v>0</v>
      </c>
      <c r="D113" s="170">
        <v>0</v>
      </c>
      <c r="E113" s="170">
        <v>0</v>
      </c>
      <c r="F113" s="170">
        <v>0</v>
      </c>
      <c r="G113" s="170">
        <v>0</v>
      </c>
      <c r="H113" s="170">
        <v>0</v>
      </c>
      <c r="I113" s="170">
        <v>0</v>
      </c>
      <c r="J113" s="170">
        <v>0</v>
      </c>
      <c r="K113" s="170">
        <v>0</v>
      </c>
      <c r="L113" s="170">
        <v>0</v>
      </c>
      <c r="M113" s="170">
        <v>0</v>
      </c>
      <c r="N113" s="170">
        <v>0</v>
      </c>
      <c r="O113" s="170">
        <v>0</v>
      </c>
      <c r="P113" s="170">
        <v>428.97593338000001</v>
      </c>
      <c r="Q113" s="170">
        <v>751.66064221999989</v>
      </c>
      <c r="R113" s="170">
        <v>121.85887864000001</v>
      </c>
      <c r="S113" s="170">
        <v>110.74484421000001</v>
      </c>
      <c r="T113" s="170">
        <v>30283.656172480001</v>
      </c>
      <c r="U113" s="170">
        <v>10215.700058359997</v>
      </c>
      <c r="V113" s="170">
        <v>7908.3811419900021</v>
      </c>
      <c r="W113" s="170">
        <v>5009.5031956099992</v>
      </c>
      <c r="X113" s="170">
        <v>3261.6345851199999</v>
      </c>
      <c r="Y113" s="170">
        <v>1648.8299786599998</v>
      </c>
      <c r="Z113" s="170">
        <v>835.40441294999994</v>
      </c>
      <c r="AA113" s="170">
        <v>667.72327463000011</v>
      </c>
      <c r="AB113" s="170">
        <v>487.90033077999993</v>
      </c>
      <c r="AC113" s="170">
        <v>227.91028963999997</v>
      </c>
    </row>
    <row r="114" spans="1:29" ht="16.5" customHeight="1">
      <c r="A114" s="141" t="s">
        <v>484</v>
      </c>
      <c r="B114" s="170">
        <v>0</v>
      </c>
      <c r="C114" s="170">
        <v>0</v>
      </c>
      <c r="D114" s="170">
        <v>0</v>
      </c>
      <c r="E114" s="170">
        <v>0</v>
      </c>
      <c r="F114" s="170">
        <v>0</v>
      </c>
      <c r="G114" s="170">
        <v>0</v>
      </c>
      <c r="H114" s="170">
        <v>0</v>
      </c>
      <c r="I114" s="170">
        <v>0</v>
      </c>
      <c r="J114" s="170">
        <v>0</v>
      </c>
      <c r="K114" s="170">
        <v>0</v>
      </c>
      <c r="L114" s="170">
        <v>0</v>
      </c>
      <c r="M114" s="170">
        <v>0</v>
      </c>
      <c r="N114" s="170">
        <v>0</v>
      </c>
      <c r="O114" s="170">
        <v>0</v>
      </c>
      <c r="P114" s="170">
        <v>0</v>
      </c>
      <c r="Q114" s="170">
        <v>227.20629047999998</v>
      </c>
      <c r="R114" s="170">
        <v>477.43852579999998</v>
      </c>
      <c r="S114" s="170">
        <v>367.30405595000002</v>
      </c>
      <c r="T114" s="170">
        <v>392.29782973000005</v>
      </c>
      <c r="U114" s="170">
        <v>0</v>
      </c>
      <c r="V114" s="170">
        <v>0</v>
      </c>
      <c r="W114" s="170">
        <v>5.4786197100000003</v>
      </c>
      <c r="X114" s="170">
        <v>0</v>
      </c>
      <c r="Y114" s="170">
        <v>0</v>
      </c>
      <c r="Z114" s="170">
        <v>0</v>
      </c>
      <c r="AA114" s="170">
        <v>0</v>
      </c>
      <c r="AB114" s="170">
        <v>0</v>
      </c>
      <c r="AC114" s="170">
        <v>0</v>
      </c>
    </row>
    <row r="115" spans="1:29" ht="16.5" customHeight="1">
      <c r="A115" s="141" t="s">
        <v>485</v>
      </c>
      <c r="B115" s="170">
        <v>0</v>
      </c>
      <c r="C115" s="170">
        <v>0</v>
      </c>
      <c r="D115" s="170">
        <v>0</v>
      </c>
      <c r="E115" s="170">
        <v>0</v>
      </c>
      <c r="F115" s="170">
        <v>0</v>
      </c>
      <c r="G115" s="170">
        <v>0</v>
      </c>
      <c r="H115" s="170">
        <v>0</v>
      </c>
      <c r="I115" s="170">
        <v>0</v>
      </c>
      <c r="J115" s="170">
        <v>0</v>
      </c>
      <c r="K115" s="170">
        <v>0</v>
      </c>
      <c r="L115" s="170">
        <v>0</v>
      </c>
      <c r="M115" s="170">
        <v>0</v>
      </c>
      <c r="N115" s="170">
        <v>0</v>
      </c>
      <c r="O115" s="170">
        <v>0</v>
      </c>
      <c r="P115" s="170">
        <v>0</v>
      </c>
      <c r="Q115" s="170">
        <v>1.3402010000000001E-2</v>
      </c>
      <c r="R115" s="170">
        <v>0.48409670000000005</v>
      </c>
      <c r="S115" s="170">
        <v>0.83428723000000005</v>
      </c>
      <c r="T115" s="170">
        <v>4.9863362000000002</v>
      </c>
      <c r="U115" s="170">
        <v>5.6562877199999999</v>
      </c>
      <c r="V115" s="170">
        <v>6.3006156499999992</v>
      </c>
      <c r="W115" s="170">
        <v>6.63354804</v>
      </c>
      <c r="X115" s="170">
        <v>7.1373641999999995</v>
      </c>
      <c r="Y115" s="170">
        <v>7.8704598000000008</v>
      </c>
      <c r="Z115" s="170">
        <v>8.7558480300000028</v>
      </c>
      <c r="AA115" s="170">
        <v>8.9729276700000025</v>
      </c>
      <c r="AB115" s="170">
        <v>12.09937412</v>
      </c>
      <c r="AC115" s="170">
        <v>10.667336839999999</v>
      </c>
    </row>
    <row r="116" spans="1:29" ht="16.5" customHeight="1">
      <c r="A116" s="141" t="s">
        <v>486</v>
      </c>
      <c r="B116" s="170">
        <v>0</v>
      </c>
      <c r="C116" s="170">
        <v>0</v>
      </c>
      <c r="D116" s="170">
        <v>0</v>
      </c>
      <c r="E116" s="170">
        <v>0</v>
      </c>
      <c r="F116" s="170">
        <v>0</v>
      </c>
      <c r="G116" s="170">
        <v>0</v>
      </c>
      <c r="H116" s="170">
        <v>0</v>
      </c>
      <c r="I116" s="170">
        <v>-60.269904560000015</v>
      </c>
      <c r="J116" s="170">
        <v>-17.52986254999999</v>
      </c>
      <c r="K116" s="170">
        <v>110.12435333999974</v>
      </c>
      <c r="L116" s="170">
        <v>465.89623124000002</v>
      </c>
      <c r="M116" s="170">
        <v>-1386.0272194200002</v>
      </c>
      <c r="N116" s="170">
        <v>-4247.5889020300001</v>
      </c>
      <c r="O116" s="170">
        <v>-23.29103872</v>
      </c>
      <c r="P116" s="170">
        <v>0</v>
      </c>
      <c r="Q116" s="170">
        <v>-34.109228619999996</v>
      </c>
      <c r="R116" s="170">
        <v>0</v>
      </c>
      <c r="S116" s="170">
        <v>0</v>
      </c>
      <c r="T116" s="170">
        <v>0</v>
      </c>
      <c r="U116" s="170">
        <v>0</v>
      </c>
      <c r="V116" s="170">
        <v>0</v>
      </c>
      <c r="W116" s="170">
        <v>0</v>
      </c>
      <c r="X116" s="170">
        <v>0</v>
      </c>
      <c r="Y116" s="170">
        <v>0</v>
      </c>
      <c r="Z116" s="170">
        <v>0</v>
      </c>
      <c r="AA116" s="170">
        <v>0</v>
      </c>
      <c r="AB116" s="170">
        <v>0</v>
      </c>
      <c r="AC116" s="170">
        <v>0</v>
      </c>
    </row>
    <row r="117" spans="1:29" ht="16.5" customHeight="1">
      <c r="A117" s="141" t="s">
        <v>487</v>
      </c>
      <c r="B117" s="170">
        <v>0</v>
      </c>
      <c r="C117" s="170">
        <v>0</v>
      </c>
      <c r="D117" s="170">
        <v>0</v>
      </c>
      <c r="E117" s="170">
        <v>0</v>
      </c>
      <c r="F117" s="170">
        <v>0</v>
      </c>
      <c r="G117" s="170">
        <v>0</v>
      </c>
      <c r="H117" s="170">
        <v>0</v>
      </c>
      <c r="I117" s="170">
        <v>0</v>
      </c>
      <c r="J117" s="170">
        <v>0</v>
      </c>
      <c r="K117" s="170">
        <v>0</v>
      </c>
      <c r="L117" s="170">
        <v>0</v>
      </c>
      <c r="M117" s="170">
        <v>0</v>
      </c>
      <c r="N117" s="170">
        <v>0</v>
      </c>
      <c r="O117" s="170">
        <v>0</v>
      </c>
      <c r="P117" s="170">
        <v>0</v>
      </c>
      <c r="Q117" s="170">
        <v>53.309652999999997</v>
      </c>
      <c r="R117" s="170">
        <v>250</v>
      </c>
      <c r="S117" s="170">
        <v>125</v>
      </c>
      <c r="T117" s="170">
        <v>518.73700400000007</v>
      </c>
      <c r="U117" s="170">
        <v>699.78250200000002</v>
      </c>
      <c r="V117" s="170">
        <v>590.49024915999996</v>
      </c>
      <c r="W117" s="170">
        <v>650.83179786000005</v>
      </c>
      <c r="X117" s="170">
        <v>421.26393680999996</v>
      </c>
      <c r="Y117" s="170">
        <v>707.3</v>
      </c>
      <c r="Z117" s="170">
        <v>425</v>
      </c>
      <c r="AA117" s="170">
        <v>397.17416113999997</v>
      </c>
      <c r="AB117" s="170">
        <v>1995.1542398400002</v>
      </c>
      <c r="AC117" s="170">
        <v>876.55096720000006</v>
      </c>
    </row>
    <row r="118" spans="1:29" ht="16.5" customHeight="1">
      <c r="A118" s="141" t="s">
        <v>488</v>
      </c>
      <c r="B118" s="170">
        <v>0</v>
      </c>
      <c r="C118" s="170">
        <v>0</v>
      </c>
      <c r="D118" s="170">
        <v>0</v>
      </c>
      <c r="E118" s="170">
        <v>0</v>
      </c>
      <c r="F118" s="170">
        <v>0</v>
      </c>
      <c r="G118" s="170">
        <v>0</v>
      </c>
      <c r="H118" s="170">
        <v>0</v>
      </c>
      <c r="I118" s="170">
        <v>0</v>
      </c>
      <c r="J118" s="170">
        <v>1191.0050000000001</v>
      </c>
      <c r="K118" s="170">
        <v>1482.4492661600002</v>
      </c>
      <c r="L118" s="170">
        <v>498.60800000000006</v>
      </c>
      <c r="M118" s="170">
        <v>624.72</v>
      </c>
      <c r="N118" s="170">
        <v>565.22696934462897</v>
      </c>
      <c r="O118" s="170">
        <v>517.99795455792298</v>
      </c>
      <c r="P118" s="170">
        <v>537.26476251999998</v>
      </c>
      <c r="Q118" s="170">
        <v>667.23042211999996</v>
      </c>
      <c r="R118" s="170">
        <v>753.18157680000002</v>
      </c>
      <c r="S118" s="170">
        <v>0</v>
      </c>
      <c r="T118" s="170">
        <v>0</v>
      </c>
      <c r="U118" s="170">
        <v>0</v>
      </c>
      <c r="V118" s="170">
        <v>0</v>
      </c>
      <c r="W118" s="170">
        <v>0</v>
      </c>
      <c r="X118" s="170">
        <v>0</v>
      </c>
      <c r="Y118" s="170">
        <v>0</v>
      </c>
      <c r="Z118" s="170">
        <v>0</v>
      </c>
      <c r="AA118" s="170">
        <v>0</v>
      </c>
      <c r="AB118" s="170">
        <v>0</v>
      </c>
      <c r="AC118" s="170">
        <v>0</v>
      </c>
    </row>
    <row r="119" spans="1:29" ht="16.5" customHeight="1">
      <c r="A119" s="141" t="s">
        <v>489</v>
      </c>
      <c r="B119" s="170">
        <v>0</v>
      </c>
      <c r="C119" s="170">
        <v>0</v>
      </c>
      <c r="D119" s="170">
        <v>0</v>
      </c>
      <c r="E119" s="170">
        <v>0</v>
      </c>
      <c r="F119" s="170">
        <v>0</v>
      </c>
      <c r="G119" s="170">
        <v>0</v>
      </c>
      <c r="H119" s="170">
        <v>0</v>
      </c>
      <c r="I119" s="170">
        <v>0</v>
      </c>
      <c r="J119" s="170">
        <v>0</v>
      </c>
      <c r="K119" s="170">
        <v>0</v>
      </c>
      <c r="L119" s="170">
        <v>0</v>
      </c>
      <c r="M119" s="170">
        <v>0</v>
      </c>
      <c r="N119" s="170">
        <v>0</v>
      </c>
      <c r="O119" s="170">
        <v>0</v>
      </c>
      <c r="P119" s="170">
        <v>98.492800329999994</v>
      </c>
      <c r="Q119" s="170">
        <v>368.09435454000004</v>
      </c>
      <c r="R119" s="170">
        <v>472.88666145000002</v>
      </c>
      <c r="S119" s="170">
        <v>406.33365921000001</v>
      </c>
      <c r="T119" s="170">
        <v>792.51009599999998</v>
      </c>
      <c r="U119" s="170">
        <v>202.2</v>
      </c>
      <c r="V119" s="170">
        <v>0</v>
      </c>
      <c r="W119" s="170">
        <v>0</v>
      </c>
      <c r="X119" s="170">
        <v>0</v>
      </c>
      <c r="Y119" s="170">
        <v>0</v>
      </c>
      <c r="Z119" s="170">
        <v>0</v>
      </c>
      <c r="AA119" s="170">
        <v>0</v>
      </c>
      <c r="AB119" s="170">
        <v>0</v>
      </c>
      <c r="AC119" s="170">
        <v>0</v>
      </c>
    </row>
    <row r="120" spans="1:29" ht="16.5" customHeight="1">
      <c r="A120" s="141" t="s">
        <v>490</v>
      </c>
      <c r="B120" s="170">
        <v>0</v>
      </c>
      <c r="C120" s="170">
        <v>0</v>
      </c>
      <c r="D120" s="170">
        <v>0</v>
      </c>
      <c r="E120" s="170">
        <v>0</v>
      </c>
      <c r="F120" s="170">
        <v>0</v>
      </c>
      <c r="G120" s="170">
        <v>0</v>
      </c>
      <c r="H120" s="170">
        <v>0</v>
      </c>
      <c r="I120" s="170">
        <v>0</v>
      </c>
      <c r="J120" s="170">
        <v>0</v>
      </c>
      <c r="K120" s="170">
        <v>0</v>
      </c>
      <c r="L120" s="170">
        <v>0</v>
      </c>
      <c r="M120" s="170">
        <v>0</v>
      </c>
      <c r="N120" s="170">
        <v>0</v>
      </c>
      <c r="O120" s="170">
        <v>0</v>
      </c>
      <c r="P120" s="170">
        <v>0</v>
      </c>
      <c r="Q120" s="170">
        <v>0</v>
      </c>
      <c r="R120" s="170">
        <v>0</v>
      </c>
      <c r="S120" s="170">
        <v>153.00635385000001</v>
      </c>
      <c r="T120" s="170">
        <v>0</v>
      </c>
      <c r="U120" s="170">
        <v>0</v>
      </c>
      <c r="V120" s="170">
        <v>0</v>
      </c>
      <c r="W120" s="170">
        <v>0</v>
      </c>
      <c r="X120" s="170">
        <v>0</v>
      </c>
      <c r="Y120" s="170">
        <v>0</v>
      </c>
      <c r="Z120" s="170">
        <v>0</v>
      </c>
      <c r="AA120" s="170">
        <v>0</v>
      </c>
      <c r="AB120" s="170">
        <v>0</v>
      </c>
      <c r="AC120" s="170">
        <v>0</v>
      </c>
    </row>
    <row r="121" spans="1:29" ht="16.5" customHeight="1">
      <c r="A121" s="141" t="s">
        <v>491</v>
      </c>
      <c r="B121" s="170">
        <v>0</v>
      </c>
      <c r="C121" s="170">
        <v>0</v>
      </c>
      <c r="D121" s="170">
        <v>0</v>
      </c>
      <c r="E121" s="170">
        <v>0</v>
      </c>
      <c r="F121" s="170">
        <v>0</v>
      </c>
      <c r="G121" s="170">
        <v>0</v>
      </c>
      <c r="H121" s="170">
        <v>0</v>
      </c>
      <c r="I121" s="170">
        <v>0</v>
      </c>
      <c r="J121" s="170">
        <v>0</v>
      </c>
      <c r="K121" s="170">
        <v>0</v>
      </c>
      <c r="L121" s="170">
        <v>0</v>
      </c>
      <c r="M121" s="170">
        <v>0</v>
      </c>
      <c r="N121" s="170">
        <v>0</v>
      </c>
      <c r="O121" s="170">
        <v>0</v>
      </c>
      <c r="P121" s="170">
        <v>0</v>
      </c>
      <c r="Q121" s="170">
        <v>0</v>
      </c>
      <c r="R121" s="170">
        <v>0</v>
      </c>
      <c r="S121" s="170">
        <v>2.0779766999999998</v>
      </c>
      <c r="T121" s="170">
        <v>16.510257699999997</v>
      </c>
      <c r="U121" s="170">
        <v>68.404733190000002</v>
      </c>
      <c r="V121" s="170">
        <v>47.24418184000001</v>
      </c>
      <c r="W121" s="170">
        <v>44.608427430000006</v>
      </c>
      <c r="X121" s="170">
        <v>40.130108010000001</v>
      </c>
      <c r="Y121" s="170">
        <v>35.833811699999998</v>
      </c>
      <c r="Z121" s="170">
        <v>31.832823339999997</v>
      </c>
      <c r="AA121" s="170">
        <v>26.34924882</v>
      </c>
      <c r="AB121" s="170">
        <v>24.74468036</v>
      </c>
      <c r="AC121" s="170">
        <v>18.035438540000001</v>
      </c>
    </row>
    <row r="122" spans="1:29" ht="16.5" customHeight="1">
      <c r="A122" s="141" t="s">
        <v>492</v>
      </c>
      <c r="B122" s="170">
        <v>0</v>
      </c>
      <c r="C122" s="170">
        <v>0</v>
      </c>
      <c r="D122" s="170">
        <v>0</v>
      </c>
      <c r="E122" s="170">
        <v>0</v>
      </c>
      <c r="F122" s="170">
        <v>0</v>
      </c>
      <c r="G122" s="170">
        <v>0</v>
      </c>
      <c r="H122" s="170">
        <v>0</v>
      </c>
      <c r="I122" s="170">
        <v>0</v>
      </c>
      <c r="J122" s="170">
        <v>0</v>
      </c>
      <c r="K122" s="170">
        <v>0</v>
      </c>
      <c r="L122" s="170">
        <v>0</v>
      </c>
      <c r="M122" s="170">
        <v>0</v>
      </c>
      <c r="N122" s="170">
        <v>0</v>
      </c>
      <c r="O122" s="170">
        <v>0</v>
      </c>
      <c r="P122" s="170">
        <v>0</v>
      </c>
      <c r="Q122" s="170">
        <v>0</v>
      </c>
      <c r="R122" s="170">
        <v>0</v>
      </c>
      <c r="S122" s="170">
        <v>0</v>
      </c>
      <c r="T122" s="170">
        <v>0</v>
      </c>
      <c r="U122" s="170">
        <v>0</v>
      </c>
      <c r="V122" s="170">
        <v>0</v>
      </c>
      <c r="W122" s="170">
        <v>357.17242977000001</v>
      </c>
      <c r="X122" s="170">
        <v>42.687376630000003</v>
      </c>
      <c r="Y122" s="170">
        <v>18.739077370000004</v>
      </c>
      <c r="Z122" s="170">
        <v>6.2372514900000002</v>
      </c>
      <c r="AA122" s="170">
        <v>105.03093317999999</v>
      </c>
      <c r="AB122" s="170">
        <v>70.543959470000004</v>
      </c>
      <c r="AC122" s="170">
        <v>4.0085759999999998E-2</v>
      </c>
    </row>
    <row r="123" spans="1:29" ht="16.5" customHeight="1">
      <c r="A123" s="141" t="s">
        <v>493</v>
      </c>
      <c r="B123" s="170">
        <v>0</v>
      </c>
      <c r="C123" s="170">
        <v>0</v>
      </c>
      <c r="D123" s="170">
        <v>0</v>
      </c>
      <c r="E123" s="170">
        <v>0</v>
      </c>
      <c r="F123" s="170">
        <v>0</v>
      </c>
      <c r="G123" s="170">
        <v>0</v>
      </c>
      <c r="H123" s="170">
        <v>0</v>
      </c>
      <c r="I123" s="170">
        <v>0</v>
      </c>
      <c r="J123" s="170">
        <v>0</v>
      </c>
      <c r="K123" s="170">
        <v>0</v>
      </c>
      <c r="L123" s="170">
        <v>0</v>
      </c>
      <c r="M123" s="170">
        <v>0</v>
      </c>
      <c r="N123" s="170">
        <v>0</v>
      </c>
      <c r="O123" s="170">
        <v>0</v>
      </c>
      <c r="P123" s="170">
        <v>0</v>
      </c>
      <c r="Q123" s="170">
        <v>0</v>
      </c>
      <c r="R123" s="170">
        <v>0</v>
      </c>
      <c r="S123" s="170">
        <v>0</v>
      </c>
      <c r="T123" s="170">
        <v>-234.33921494000001</v>
      </c>
      <c r="U123" s="170">
        <v>-11.305723759999951</v>
      </c>
      <c r="V123" s="170">
        <v>-16.845193720000005</v>
      </c>
      <c r="W123" s="170">
        <v>-70.835806489999996</v>
      </c>
      <c r="X123" s="170">
        <v>-48.805762389999991</v>
      </c>
      <c r="Y123" s="170">
        <v>-173.68851194999999</v>
      </c>
      <c r="Z123" s="170">
        <v>-297.20526746000007</v>
      </c>
      <c r="AA123" s="170">
        <v>-231.16947915999998</v>
      </c>
      <c r="AB123" s="170">
        <v>-173.99816334999997</v>
      </c>
      <c r="AC123" s="170">
        <v>-173.03075573999999</v>
      </c>
    </row>
    <row r="124" spans="1:29" ht="16.5" customHeight="1">
      <c r="A124" s="139" t="s">
        <v>494</v>
      </c>
      <c r="B124" s="170">
        <v>0</v>
      </c>
      <c r="C124" s="170">
        <v>0</v>
      </c>
      <c r="D124" s="170">
        <v>0</v>
      </c>
      <c r="E124" s="170">
        <v>0</v>
      </c>
      <c r="F124" s="170">
        <v>0</v>
      </c>
      <c r="G124" s="170">
        <v>0</v>
      </c>
      <c r="H124" s="170">
        <v>30</v>
      </c>
      <c r="I124" s="170">
        <v>20</v>
      </c>
      <c r="J124" s="170">
        <v>836.1</v>
      </c>
      <c r="K124" s="170">
        <v>563</v>
      </c>
      <c r="L124" s="170">
        <v>50</v>
      </c>
      <c r="M124" s="170">
        <v>58</v>
      </c>
      <c r="N124" s="170">
        <v>361.87900000000002</v>
      </c>
      <c r="O124" s="170">
        <v>0</v>
      </c>
      <c r="P124" s="170">
        <v>0</v>
      </c>
      <c r="Q124" s="170">
        <v>601.73700000000008</v>
      </c>
      <c r="R124" s="170">
        <v>429.61</v>
      </c>
      <c r="S124" s="170">
        <v>0</v>
      </c>
      <c r="T124" s="170">
        <v>1070</v>
      </c>
      <c r="U124" s="170">
        <v>1127.8</v>
      </c>
      <c r="V124" s="170">
        <v>659.5</v>
      </c>
      <c r="W124" s="170">
        <v>161.5</v>
      </c>
      <c r="X124" s="170">
        <v>285.815</v>
      </c>
      <c r="Y124" s="170">
        <v>1941</v>
      </c>
      <c r="Z124" s="170">
        <v>1704.7486120000001</v>
      </c>
      <c r="AA124" s="170">
        <v>5000.9818369999994</v>
      </c>
      <c r="AB124" s="170">
        <v>9405.0415009999997</v>
      </c>
      <c r="AC124" s="170">
        <v>5441.0227717899998</v>
      </c>
    </row>
    <row r="125" spans="1:29" ht="16.5" customHeight="1">
      <c r="A125" s="139" t="s">
        <v>495</v>
      </c>
      <c r="B125" s="170">
        <v>0</v>
      </c>
      <c r="C125" s="170">
        <v>0</v>
      </c>
      <c r="D125" s="170">
        <v>0</v>
      </c>
      <c r="E125" s="170">
        <v>0</v>
      </c>
      <c r="F125" s="170">
        <v>0</v>
      </c>
      <c r="G125" s="170">
        <v>0</v>
      </c>
      <c r="H125" s="170">
        <v>0</v>
      </c>
      <c r="I125" s="170">
        <v>40.774055230000002</v>
      </c>
      <c r="J125" s="170">
        <v>-21.823351449999976</v>
      </c>
      <c r="K125" s="170">
        <v>-87.343694224964693</v>
      </c>
      <c r="L125" s="170">
        <v>-69.44225308999998</v>
      </c>
      <c r="M125" s="170">
        <v>-26.10011608535936</v>
      </c>
      <c r="N125" s="170">
        <v>-59.970704880380808</v>
      </c>
      <c r="O125" s="170">
        <v>-34.770501070000009</v>
      </c>
      <c r="P125" s="170">
        <v>-18.754393499999999</v>
      </c>
      <c r="Q125" s="170">
        <v>13.21379001</v>
      </c>
      <c r="R125" s="170">
        <v>-61.687317349999994</v>
      </c>
      <c r="S125" s="170">
        <v>-83.347694210000014</v>
      </c>
      <c r="T125" s="170">
        <v>-134.92379715999999</v>
      </c>
      <c r="U125" s="170">
        <v>-106.59393018</v>
      </c>
      <c r="V125" s="170">
        <v>-169.31616913999997</v>
      </c>
      <c r="W125" s="170">
        <v>-67.764343660000037</v>
      </c>
      <c r="X125" s="170">
        <v>-45.228468350000007</v>
      </c>
      <c r="Y125" s="170">
        <v>21.300801400000005</v>
      </c>
      <c r="Z125" s="170">
        <v>-131.92503210000018</v>
      </c>
      <c r="AA125" s="170">
        <v>102.44187482999958</v>
      </c>
      <c r="AB125" s="170">
        <v>66.867632689999965</v>
      </c>
      <c r="AC125" s="170">
        <v>-13.880540900000007</v>
      </c>
    </row>
    <row r="126" spans="1:29" ht="16.5" customHeight="1">
      <c r="A126" s="139" t="s">
        <v>496</v>
      </c>
      <c r="B126" s="170">
        <v>0</v>
      </c>
      <c r="C126" s="170">
        <v>0</v>
      </c>
      <c r="D126" s="170">
        <v>0</v>
      </c>
      <c r="E126" s="170">
        <v>0</v>
      </c>
      <c r="F126" s="170">
        <v>0</v>
      </c>
      <c r="G126" s="170">
        <v>0</v>
      </c>
      <c r="H126" s="170">
        <v>0</v>
      </c>
      <c r="I126" s="170">
        <v>0</v>
      </c>
      <c r="J126" s="170">
        <v>0</v>
      </c>
      <c r="K126" s="170">
        <v>0</v>
      </c>
      <c r="L126" s="170">
        <v>0</v>
      </c>
      <c r="M126" s="170">
        <v>0</v>
      </c>
      <c r="N126" s="170">
        <v>0</v>
      </c>
      <c r="O126" s="170">
        <v>0</v>
      </c>
      <c r="P126" s="170">
        <v>0</v>
      </c>
      <c r="Q126" s="170">
        <v>0</v>
      </c>
      <c r="R126" s="170">
        <v>0</v>
      </c>
      <c r="S126" s="170">
        <v>0</v>
      </c>
      <c r="T126" s="170">
        <v>0</v>
      </c>
      <c r="U126" s="170">
        <v>145.80023380999998</v>
      </c>
      <c r="V126" s="170">
        <v>0</v>
      </c>
      <c r="W126" s="170">
        <v>2.57178357</v>
      </c>
      <c r="X126" s="170">
        <v>0</v>
      </c>
      <c r="Y126" s="170">
        <v>11783.888436560002</v>
      </c>
      <c r="Z126" s="170">
        <v>-2947.0966001299998</v>
      </c>
      <c r="AA126" s="170">
        <v>-3935.1900997099997</v>
      </c>
      <c r="AB126" s="170">
        <v>-2622.9056202400006</v>
      </c>
      <c r="AC126" s="170">
        <v>736.14034009999989</v>
      </c>
    </row>
    <row r="127" spans="1:29" ht="16.5" customHeight="1">
      <c r="A127" s="126" t="s">
        <v>497</v>
      </c>
      <c r="B127" s="170">
        <v>0</v>
      </c>
      <c r="C127" s="170">
        <v>0</v>
      </c>
      <c r="D127" s="170">
        <v>0</v>
      </c>
      <c r="E127" s="170">
        <v>0</v>
      </c>
      <c r="F127" s="170">
        <v>0</v>
      </c>
      <c r="G127" s="170">
        <v>0</v>
      </c>
      <c r="H127" s="170">
        <v>0</v>
      </c>
      <c r="I127" s="170">
        <v>0</v>
      </c>
      <c r="J127" s="170">
        <v>0</v>
      </c>
      <c r="K127" s="170">
        <v>17.706404930000001</v>
      </c>
      <c r="L127" s="170">
        <v>311.21788336999998</v>
      </c>
      <c r="M127" s="170">
        <v>355.63160430999994</v>
      </c>
      <c r="N127" s="170">
        <v>27.62819988</v>
      </c>
      <c r="O127" s="170">
        <v>31.691225599999999</v>
      </c>
      <c r="P127" s="170">
        <v>192.8203417</v>
      </c>
      <c r="Q127" s="170">
        <v>112.62873802</v>
      </c>
      <c r="R127" s="170">
        <v>263.41782398000004</v>
      </c>
      <c r="S127" s="170">
        <v>239.49022446000001</v>
      </c>
      <c r="T127" s="170">
        <v>278.70357432999998</v>
      </c>
      <c r="U127" s="170">
        <v>284.17015888999998</v>
      </c>
      <c r="V127" s="170">
        <v>303.33991662</v>
      </c>
      <c r="W127" s="170">
        <v>302.82044590999999</v>
      </c>
      <c r="X127" s="170">
        <v>224.13318258000001</v>
      </c>
      <c r="Y127" s="170">
        <v>77.028464030000009</v>
      </c>
      <c r="Z127" s="170">
        <v>154.39547342</v>
      </c>
      <c r="AA127" s="170">
        <v>134.88100180000004</v>
      </c>
      <c r="AB127" s="170">
        <v>143.83055682</v>
      </c>
      <c r="AC127" s="170">
        <v>115.10887366</v>
      </c>
    </row>
    <row r="128" spans="1:29" ht="16.5" customHeight="1">
      <c r="A128" s="126" t="s">
        <v>498</v>
      </c>
      <c r="B128" s="170">
        <v>0</v>
      </c>
      <c r="C128" s="170">
        <v>0</v>
      </c>
      <c r="D128" s="170">
        <v>0</v>
      </c>
      <c r="E128" s="170">
        <v>0</v>
      </c>
      <c r="F128" s="170">
        <v>0</v>
      </c>
      <c r="G128" s="170">
        <v>0</v>
      </c>
      <c r="H128" s="170">
        <v>0</v>
      </c>
      <c r="I128" s="170">
        <v>0</v>
      </c>
      <c r="J128" s="170">
        <v>0</v>
      </c>
      <c r="K128" s="170">
        <v>0</v>
      </c>
      <c r="L128" s="170">
        <v>0</v>
      </c>
      <c r="M128" s="170">
        <v>0</v>
      </c>
      <c r="N128" s="170">
        <v>0</v>
      </c>
      <c r="O128" s="170">
        <v>0</v>
      </c>
      <c r="P128" s="170">
        <v>0</v>
      </c>
      <c r="Q128" s="170">
        <v>0</v>
      </c>
      <c r="R128" s="170">
        <v>0</v>
      </c>
      <c r="S128" s="170">
        <v>45.250866690000002</v>
      </c>
      <c r="T128" s="170">
        <v>843.45003436000002</v>
      </c>
      <c r="U128" s="170">
        <v>849.65524019000009</v>
      </c>
      <c r="V128" s="170">
        <v>893.19055229000003</v>
      </c>
      <c r="W128" s="170">
        <v>917.22070303999999</v>
      </c>
      <c r="X128" s="170">
        <v>971.86294611999995</v>
      </c>
      <c r="Y128" s="170">
        <v>1924.9833340699997</v>
      </c>
      <c r="Z128" s="170">
        <v>1197.4685855600001</v>
      </c>
      <c r="AA128" s="170">
        <v>1597.2396833800001</v>
      </c>
      <c r="AB128" s="170">
        <v>2006.72811396</v>
      </c>
      <c r="AC128" s="170">
        <v>2288.67572746</v>
      </c>
    </row>
    <row r="129" spans="1:29" ht="16.5" customHeight="1">
      <c r="A129" s="126" t="s">
        <v>499</v>
      </c>
      <c r="B129" s="170">
        <v>0</v>
      </c>
      <c r="C129" s="170">
        <v>0</v>
      </c>
      <c r="D129" s="170">
        <v>0</v>
      </c>
      <c r="E129" s="170">
        <v>0</v>
      </c>
      <c r="F129" s="170">
        <v>0</v>
      </c>
      <c r="G129" s="170">
        <v>0</v>
      </c>
      <c r="H129" s="170">
        <v>0</v>
      </c>
      <c r="I129" s="170">
        <v>0</v>
      </c>
      <c r="J129" s="170">
        <v>0</v>
      </c>
      <c r="K129" s="170">
        <v>0</v>
      </c>
      <c r="L129" s="170">
        <v>0</v>
      </c>
      <c r="M129" s="170">
        <v>0</v>
      </c>
      <c r="N129" s="170">
        <v>0</v>
      </c>
      <c r="O129" s="170">
        <v>881.69596339089685</v>
      </c>
      <c r="P129" s="170">
        <v>1632.5286694857577</v>
      </c>
      <c r="Q129" s="170">
        <v>3274.5725946083603</v>
      </c>
      <c r="R129" s="170">
        <v>4834.4650328660819</v>
      </c>
      <c r="S129" s="170">
        <v>6271.7816527862979</v>
      </c>
      <c r="T129" s="170">
        <v>5761.4066705860878</v>
      </c>
      <c r="U129" s="170">
        <v>7020.2677611563249</v>
      </c>
      <c r="V129" s="170">
        <v>6218.0388642970092</v>
      </c>
      <c r="W129" s="170">
        <v>2834.8309800255688</v>
      </c>
      <c r="X129" s="170">
        <v>1942.0812934325857</v>
      </c>
      <c r="Y129" s="170">
        <v>-181.58831019185632</v>
      </c>
      <c r="Z129" s="170">
        <v>-1334.5983681133334</v>
      </c>
      <c r="AA129" s="170">
        <v>725.71318110666641</v>
      </c>
      <c r="AB129" s="170">
        <v>1610.3458260366672</v>
      </c>
      <c r="AC129" s="170">
        <v>1498.0594528466672</v>
      </c>
    </row>
    <row r="130" spans="1:29" ht="16.5" customHeight="1">
      <c r="A130" s="126" t="s">
        <v>500</v>
      </c>
      <c r="B130" s="170">
        <v>0</v>
      </c>
      <c r="C130" s="170">
        <v>0</v>
      </c>
      <c r="D130" s="170">
        <v>0</v>
      </c>
      <c r="E130" s="170">
        <v>0</v>
      </c>
      <c r="F130" s="170">
        <v>0</v>
      </c>
      <c r="G130" s="170">
        <v>0</v>
      </c>
      <c r="H130" s="170">
        <v>0</v>
      </c>
      <c r="I130" s="170">
        <v>0</v>
      </c>
      <c r="J130" s="170">
        <v>0</v>
      </c>
      <c r="K130" s="170">
        <v>0</v>
      </c>
      <c r="L130" s="170">
        <v>0</v>
      </c>
      <c r="M130" s="170">
        <v>0</v>
      </c>
      <c r="N130" s="170">
        <v>0</v>
      </c>
      <c r="O130" s="170">
        <v>0</v>
      </c>
      <c r="P130" s="170">
        <v>0</v>
      </c>
      <c r="Q130" s="170">
        <v>0</v>
      </c>
      <c r="R130" s="170">
        <v>0</v>
      </c>
      <c r="S130" s="170">
        <v>0</v>
      </c>
      <c r="T130" s="170">
        <v>0</v>
      </c>
      <c r="U130" s="170">
        <v>0</v>
      </c>
      <c r="V130" s="170">
        <v>0</v>
      </c>
      <c r="W130" s="170">
        <v>1716.209431</v>
      </c>
      <c r="X130" s="170">
        <v>0</v>
      </c>
      <c r="Y130" s="170">
        <v>2034.9548239999997</v>
      </c>
      <c r="Z130" s="170">
        <v>0</v>
      </c>
      <c r="AA130" s="170">
        <v>4961.5197769999995</v>
      </c>
      <c r="AB130" s="170">
        <v>0</v>
      </c>
      <c r="AC130" s="170">
        <v>4954.6763014600001</v>
      </c>
    </row>
    <row r="131" spans="1:29" ht="16.5" customHeight="1">
      <c r="A131" s="126" t="s">
        <v>501</v>
      </c>
      <c r="B131" s="170">
        <v>871.33900000000006</v>
      </c>
      <c r="C131" s="170">
        <v>137.08099999999999</v>
      </c>
      <c r="D131" s="170">
        <v>0</v>
      </c>
      <c r="E131" s="170">
        <v>0</v>
      </c>
      <c r="F131" s="170">
        <v>0</v>
      </c>
      <c r="G131" s="170">
        <v>0</v>
      </c>
      <c r="H131" s="170">
        <v>0</v>
      </c>
      <c r="I131" s="170">
        <v>46.416718590000002</v>
      </c>
      <c r="J131" s="170">
        <v>64.697554629999999</v>
      </c>
      <c r="K131" s="170">
        <v>70.733246030000004</v>
      </c>
      <c r="L131" s="170">
        <v>309.07818935</v>
      </c>
      <c r="M131" s="170">
        <v>283.66986295999999</v>
      </c>
      <c r="N131" s="170">
        <v>492.49133273000001</v>
      </c>
      <c r="O131" s="170">
        <v>1946.3909864509999</v>
      </c>
      <c r="P131" s="170">
        <v>1288.82499048</v>
      </c>
      <c r="Q131" s="170">
        <v>2380.1735315799997</v>
      </c>
      <c r="R131" s="170">
        <v>9620.0370167700003</v>
      </c>
      <c r="S131" s="170">
        <v>10626.48813722</v>
      </c>
      <c r="T131" s="170">
        <v>1787.7411368300002</v>
      </c>
      <c r="U131" s="170">
        <v>982.84363512999994</v>
      </c>
      <c r="V131" s="170">
        <v>312.50774897999997</v>
      </c>
      <c r="W131" s="170">
        <v>0</v>
      </c>
      <c r="X131" s="170">
        <v>0</v>
      </c>
      <c r="Y131" s="170">
        <v>0</v>
      </c>
      <c r="Z131" s="170">
        <v>0</v>
      </c>
      <c r="AA131" s="170">
        <v>0</v>
      </c>
      <c r="AB131" s="170">
        <v>0</v>
      </c>
      <c r="AC131" s="170">
        <v>0</v>
      </c>
    </row>
    <row r="132" spans="1:29" ht="16.5" customHeight="1">
      <c r="A132" s="139" t="s">
        <v>502</v>
      </c>
      <c r="B132" s="170">
        <v>0</v>
      </c>
      <c r="C132" s="170">
        <v>0</v>
      </c>
      <c r="D132" s="170">
        <v>0</v>
      </c>
      <c r="E132" s="170">
        <v>0</v>
      </c>
      <c r="F132" s="170">
        <v>0</v>
      </c>
      <c r="G132" s="170">
        <v>0</v>
      </c>
      <c r="H132" s="170">
        <v>0</v>
      </c>
      <c r="I132" s="170">
        <v>0</v>
      </c>
      <c r="J132" s="170">
        <v>0</v>
      </c>
      <c r="K132" s="170">
        <v>0</v>
      </c>
      <c r="L132" s="170">
        <v>0</v>
      </c>
      <c r="M132" s="170">
        <v>0</v>
      </c>
      <c r="N132" s="170">
        <v>0</v>
      </c>
      <c r="O132" s="170">
        <v>0</v>
      </c>
      <c r="P132" s="170">
        <v>0</v>
      </c>
      <c r="Q132" s="170">
        <v>0</v>
      </c>
      <c r="R132" s="170">
        <v>7867.99684901</v>
      </c>
      <c r="S132" s="170">
        <v>9207.7357341000006</v>
      </c>
      <c r="T132" s="170">
        <v>1260.75709725</v>
      </c>
      <c r="U132" s="170">
        <v>303.99477767000002</v>
      </c>
      <c r="V132" s="170">
        <v>0</v>
      </c>
      <c r="W132" s="170">
        <v>0</v>
      </c>
      <c r="X132" s="170">
        <v>0</v>
      </c>
      <c r="Y132" s="170">
        <v>0</v>
      </c>
      <c r="Z132" s="170">
        <v>0</v>
      </c>
      <c r="AA132" s="170">
        <v>0</v>
      </c>
      <c r="AB132" s="170">
        <v>0</v>
      </c>
      <c r="AC132" s="170">
        <v>0</v>
      </c>
    </row>
    <row r="133" spans="1:29" ht="16.5" customHeight="1">
      <c r="A133" s="139" t="s">
        <v>503</v>
      </c>
      <c r="B133" s="170">
        <v>871.33900000000006</v>
      </c>
      <c r="C133" s="170">
        <v>137.08099999999999</v>
      </c>
      <c r="D133" s="170">
        <v>0</v>
      </c>
      <c r="E133" s="170">
        <v>0</v>
      </c>
      <c r="F133" s="170">
        <v>0</v>
      </c>
      <c r="G133" s="170">
        <v>0</v>
      </c>
      <c r="H133" s="170">
        <v>0</v>
      </c>
      <c r="I133" s="170">
        <v>0</v>
      </c>
      <c r="J133" s="170">
        <v>0</v>
      </c>
      <c r="K133" s="170">
        <v>0</v>
      </c>
      <c r="L133" s="170">
        <v>0</v>
      </c>
      <c r="M133" s="170">
        <v>0</v>
      </c>
      <c r="N133" s="170">
        <v>126.04624316</v>
      </c>
      <c r="O133" s="170">
        <v>276.55748131000001</v>
      </c>
      <c r="P133" s="170">
        <v>356.71545308000003</v>
      </c>
      <c r="Q133" s="170">
        <v>497.25820048000003</v>
      </c>
      <c r="R133" s="170">
        <v>335.05215365000004</v>
      </c>
      <c r="S133" s="170">
        <v>291.85686500999998</v>
      </c>
      <c r="T133" s="170">
        <v>199.28293813000002</v>
      </c>
      <c r="U133" s="170">
        <v>212.32695213</v>
      </c>
      <c r="V133" s="170">
        <v>240.75647657000002</v>
      </c>
      <c r="W133" s="170">
        <v>0</v>
      </c>
      <c r="X133" s="170">
        <v>0</v>
      </c>
      <c r="Y133" s="170">
        <v>0</v>
      </c>
      <c r="Z133" s="170">
        <v>0</v>
      </c>
      <c r="AA133" s="170">
        <v>0</v>
      </c>
      <c r="AB133" s="170">
        <v>0</v>
      </c>
      <c r="AC133" s="170">
        <v>0</v>
      </c>
    </row>
    <row r="134" spans="1:29" ht="16.5" customHeight="1">
      <c r="A134" s="139" t="s">
        <v>504</v>
      </c>
      <c r="B134" s="170">
        <v>0</v>
      </c>
      <c r="C134" s="170">
        <v>0</v>
      </c>
      <c r="D134" s="170">
        <v>0</v>
      </c>
      <c r="E134" s="170">
        <v>0</v>
      </c>
      <c r="F134" s="170">
        <v>0</v>
      </c>
      <c r="G134" s="170">
        <v>0</v>
      </c>
      <c r="H134" s="170">
        <v>0</v>
      </c>
      <c r="I134" s="170">
        <v>46.416718590000002</v>
      </c>
      <c r="J134" s="170">
        <v>64.697554629999999</v>
      </c>
      <c r="K134" s="170">
        <v>70.733246030000004</v>
      </c>
      <c r="L134" s="170">
        <v>309.07818935</v>
      </c>
      <c r="M134" s="170">
        <v>283.66986295999999</v>
      </c>
      <c r="N134" s="170">
        <v>41.903682880000005</v>
      </c>
      <c r="O134" s="170">
        <v>35.733869180999996</v>
      </c>
      <c r="P134" s="170">
        <v>33.340143010000013</v>
      </c>
      <c r="Q134" s="170">
        <v>80.518295249999994</v>
      </c>
      <c r="R134" s="170">
        <v>258.15899927999999</v>
      </c>
      <c r="S134" s="170">
        <v>282.89553811000002</v>
      </c>
      <c r="T134" s="170">
        <v>327.70110145000001</v>
      </c>
      <c r="U134" s="170">
        <v>466.52190532999998</v>
      </c>
      <c r="V134" s="170">
        <v>71.751272410000013</v>
      </c>
      <c r="W134" s="170">
        <v>0</v>
      </c>
      <c r="X134" s="170">
        <v>0</v>
      </c>
      <c r="Y134" s="170">
        <v>0</v>
      </c>
      <c r="Z134" s="170">
        <v>0</v>
      </c>
      <c r="AA134" s="170">
        <v>0</v>
      </c>
      <c r="AB134" s="170">
        <v>0</v>
      </c>
      <c r="AC134" s="170">
        <v>0</v>
      </c>
    </row>
    <row r="135" spans="1:29" ht="16.5" customHeight="1">
      <c r="A135" s="139" t="s">
        <v>505</v>
      </c>
      <c r="B135" s="170">
        <v>0</v>
      </c>
      <c r="C135" s="170">
        <v>0</v>
      </c>
      <c r="D135" s="170">
        <v>0</v>
      </c>
      <c r="E135" s="170">
        <v>0</v>
      </c>
      <c r="F135" s="170">
        <v>0</v>
      </c>
      <c r="G135" s="170">
        <v>0</v>
      </c>
      <c r="H135" s="170">
        <v>0</v>
      </c>
      <c r="I135" s="170">
        <v>0</v>
      </c>
      <c r="J135" s="170">
        <v>0</v>
      </c>
      <c r="K135" s="170">
        <v>0</v>
      </c>
      <c r="L135" s="170">
        <v>0</v>
      </c>
      <c r="M135" s="170">
        <v>0</v>
      </c>
      <c r="N135" s="170">
        <v>324.54140668999997</v>
      </c>
      <c r="O135" s="170">
        <v>1634.0996359600001</v>
      </c>
      <c r="P135" s="170">
        <v>898.76939439</v>
      </c>
      <c r="Q135" s="170">
        <v>1782.4037484599999</v>
      </c>
      <c r="R135" s="170">
        <v>1158.82901483</v>
      </c>
      <c r="S135" s="170">
        <v>844</v>
      </c>
      <c r="T135" s="170">
        <v>0</v>
      </c>
      <c r="U135" s="170">
        <v>0</v>
      </c>
      <c r="V135" s="170">
        <v>0</v>
      </c>
      <c r="W135" s="170">
        <v>0</v>
      </c>
      <c r="X135" s="170">
        <v>0</v>
      </c>
      <c r="Y135" s="170">
        <v>0</v>
      </c>
      <c r="Z135" s="170">
        <v>0</v>
      </c>
      <c r="AA135" s="170">
        <v>0</v>
      </c>
      <c r="AB135" s="170">
        <v>0</v>
      </c>
      <c r="AC135" s="170">
        <v>0</v>
      </c>
    </row>
    <row r="136" spans="1:29" ht="16.5" customHeight="1">
      <c r="A136" s="139" t="s">
        <v>506</v>
      </c>
      <c r="B136" s="170">
        <v>0</v>
      </c>
      <c r="C136" s="170">
        <v>0</v>
      </c>
      <c r="D136" s="170">
        <v>0</v>
      </c>
      <c r="E136" s="170">
        <v>0</v>
      </c>
      <c r="F136" s="170">
        <v>0</v>
      </c>
      <c r="G136" s="170">
        <v>0</v>
      </c>
      <c r="H136" s="170">
        <v>0</v>
      </c>
      <c r="I136" s="170">
        <v>0</v>
      </c>
      <c r="J136" s="170">
        <v>0</v>
      </c>
      <c r="K136" s="170">
        <v>0</v>
      </c>
      <c r="L136" s="170">
        <v>0</v>
      </c>
      <c r="M136" s="170">
        <v>0</v>
      </c>
      <c r="N136" s="170">
        <v>0</v>
      </c>
      <c r="O136" s="170">
        <v>0</v>
      </c>
      <c r="P136" s="170">
        <v>0</v>
      </c>
      <c r="Q136" s="170">
        <v>0</v>
      </c>
      <c r="R136" s="170">
        <v>0</v>
      </c>
      <c r="S136" s="170">
        <v>0</v>
      </c>
      <c r="T136" s="170">
        <v>0</v>
      </c>
      <c r="U136" s="170">
        <v>0</v>
      </c>
      <c r="V136" s="170">
        <v>0</v>
      </c>
      <c r="W136" s="170">
        <v>0</v>
      </c>
      <c r="X136" s="170">
        <v>0</v>
      </c>
      <c r="Y136" s="170">
        <v>0</v>
      </c>
      <c r="Z136" s="170">
        <v>0</v>
      </c>
      <c r="AA136" s="170">
        <v>0</v>
      </c>
      <c r="AB136" s="170">
        <v>0</v>
      </c>
      <c r="AC136" s="170">
        <v>0</v>
      </c>
    </row>
    <row r="137" spans="1:29" ht="16.5" customHeight="1">
      <c r="A137" s="139" t="s">
        <v>507</v>
      </c>
      <c r="B137" s="170">
        <v>0</v>
      </c>
      <c r="C137" s="170">
        <v>0</v>
      </c>
      <c r="D137" s="170">
        <v>0</v>
      </c>
      <c r="E137" s="170">
        <v>0</v>
      </c>
      <c r="F137" s="170">
        <v>0</v>
      </c>
      <c r="G137" s="170">
        <v>0</v>
      </c>
      <c r="H137" s="170">
        <v>0</v>
      </c>
      <c r="I137" s="170">
        <v>0</v>
      </c>
      <c r="J137" s="170">
        <v>0</v>
      </c>
      <c r="K137" s="170">
        <v>0</v>
      </c>
      <c r="L137" s="170">
        <v>0</v>
      </c>
      <c r="M137" s="170">
        <v>0</v>
      </c>
      <c r="N137" s="170">
        <v>0</v>
      </c>
      <c r="O137" s="170">
        <v>0</v>
      </c>
      <c r="P137" s="170">
        <v>0</v>
      </c>
      <c r="Q137" s="170">
        <v>19.993287389999999</v>
      </c>
      <c r="R137" s="170">
        <v>0</v>
      </c>
      <c r="S137" s="170">
        <v>0</v>
      </c>
      <c r="T137" s="170">
        <v>0</v>
      </c>
      <c r="U137" s="170">
        <v>0</v>
      </c>
      <c r="V137" s="170">
        <v>0</v>
      </c>
      <c r="W137" s="170">
        <v>0</v>
      </c>
      <c r="X137" s="170">
        <v>0</v>
      </c>
      <c r="Y137" s="170">
        <v>0</v>
      </c>
      <c r="Z137" s="170">
        <v>0</v>
      </c>
      <c r="AA137" s="170">
        <v>0</v>
      </c>
      <c r="AB137" s="170">
        <v>0</v>
      </c>
      <c r="AC137" s="170">
        <v>0</v>
      </c>
    </row>
    <row r="138" spans="1:29" ht="16.5" customHeight="1">
      <c r="A138" s="120" t="s">
        <v>508</v>
      </c>
      <c r="B138" s="169">
        <v>37189.482547833992</v>
      </c>
      <c r="C138" s="169">
        <v>41816.310023309336</v>
      </c>
      <c r="D138" s="169">
        <v>38353.100958280003</v>
      </c>
      <c r="E138" s="169">
        <v>42930.051535990002</v>
      </c>
      <c r="F138" s="169">
        <v>50926.599395730002</v>
      </c>
      <c r="G138" s="169">
        <v>59235.730301894022</v>
      </c>
      <c r="H138" s="169">
        <v>53990.718284289993</v>
      </c>
      <c r="I138" s="169">
        <v>68698.427150019997</v>
      </c>
      <c r="J138" s="169">
        <v>76466.722149609981</v>
      </c>
      <c r="K138" s="169">
        <v>85397.852791149999</v>
      </c>
      <c r="L138" s="169">
        <v>99273.507654395798</v>
      </c>
      <c r="M138" s="169">
        <v>123128.945510565</v>
      </c>
      <c r="N138" s="169">
        <v>129254.55873622</v>
      </c>
      <c r="O138" s="169">
        <v>194428.68269603999</v>
      </c>
      <c r="P138" s="169">
        <v>171597.96914749002</v>
      </c>
      <c r="Q138" s="169">
        <v>196797.40691330997</v>
      </c>
      <c r="R138" s="169">
        <v>220668.42669909995</v>
      </c>
      <c r="S138" s="169">
        <v>259132.83878156001</v>
      </c>
      <c r="T138" s="169">
        <v>241830.56798563444</v>
      </c>
      <c r="U138" s="169">
        <v>270959.68256837025</v>
      </c>
      <c r="V138" s="169">
        <v>241164.71542472384</v>
      </c>
      <c r="W138" s="169">
        <v>266370.19963772164</v>
      </c>
      <c r="X138" s="169">
        <v>307255.67263452156</v>
      </c>
      <c r="Y138" s="169">
        <v>241855.82477435001</v>
      </c>
      <c r="Z138" s="169">
        <v>269114.08032557002</v>
      </c>
      <c r="AA138" s="169">
        <v>371286.29450551001</v>
      </c>
      <c r="AB138" s="169">
        <v>509814.48502605996</v>
      </c>
      <c r="AC138" s="169">
        <v>540423.27718398999</v>
      </c>
    </row>
    <row r="139" spans="1:29" ht="16.5" customHeight="1">
      <c r="A139" s="126" t="s">
        <v>509</v>
      </c>
      <c r="B139" s="170">
        <v>0</v>
      </c>
      <c r="C139" s="170">
        <v>0</v>
      </c>
      <c r="D139" s="170">
        <v>0</v>
      </c>
      <c r="E139" s="170">
        <v>0</v>
      </c>
      <c r="F139" s="170">
        <v>0</v>
      </c>
      <c r="G139" s="170">
        <v>0</v>
      </c>
      <c r="H139" s="170">
        <v>0</v>
      </c>
      <c r="I139" s="170">
        <v>0</v>
      </c>
      <c r="J139" s="170">
        <v>0</v>
      </c>
      <c r="K139" s="170">
        <v>0</v>
      </c>
      <c r="L139" s="170">
        <v>0</v>
      </c>
      <c r="M139" s="170">
        <v>50344.952998135181</v>
      </c>
      <c r="N139" s="170">
        <v>57266.323866544815</v>
      </c>
      <c r="O139" s="170">
        <v>65256.551636664786</v>
      </c>
      <c r="P139" s="170">
        <v>77800.398307237949</v>
      </c>
      <c r="Q139" s="170">
        <v>88451.239312574748</v>
      </c>
      <c r="R139" s="170">
        <v>97388.200048595347</v>
      </c>
      <c r="S139" s="170">
        <v>112287.30803232557</v>
      </c>
      <c r="T139" s="170">
        <v>114803.01672476548</v>
      </c>
      <c r="U139" s="170">
        <v>129051.06834328909</v>
      </c>
      <c r="V139" s="170">
        <v>123793.11507398296</v>
      </c>
      <c r="W139" s="170">
        <v>137186.72459397203</v>
      </c>
      <c r="X139" s="170">
        <v>142837.10604653001</v>
      </c>
      <c r="Y139" s="170">
        <v>133504.94532576003</v>
      </c>
      <c r="Z139" s="170">
        <v>145196.11511442997</v>
      </c>
      <c r="AA139" s="170">
        <v>219143.77690767002</v>
      </c>
      <c r="AB139" s="170">
        <v>326422.18274848</v>
      </c>
      <c r="AC139" s="170">
        <v>356681.24280547199</v>
      </c>
    </row>
    <row r="140" spans="1:29" ht="16.5" customHeight="1">
      <c r="A140" s="127" t="s">
        <v>510</v>
      </c>
      <c r="B140" s="170">
        <v>0</v>
      </c>
      <c r="C140" s="170">
        <v>0</v>
      </c>
      <c r="D140" s="170">
        <v>0</v>
      </c>
      <c r="E140" s="170">
        <v>0</v>
      </c>
      <c r="F140" s="170">
        <v>0</v>
      </c>
      <c r="G140" s="170">
        <v>0</v>
      </c>
      <c r="H140" s="170">
        <v>0</v>
      </c>
      <c r="I140" s="170">
        <v>0</v>
      </c>
      <c r="J140" s="170">
        <v>0</v>
      </c>
      <c r="K140" s="170">
        <v>0</v>
      </c>
      <c r="L140" s="170">
        <v>0</v>
      </c>
      <c r="M140" s="170">
        <v>1586.5821912243662</v>
      </c>
      <c r="N140" s="170">
        <v>3838.643114515633</v>
      </c>
      <c r="O140" s="170">
        <v>5349.0633736326172</v>
      </c>
      <c r="P140" s="170">
        <v>6131.3289873954118</v>
      </c>
      <c r="Q140" s="170">
        <v>6598.2329230061578</v>
      </c>
      <c r="R140" s="170">
        <v>8228.436447960732</v>
      </c>
      <c r="S140" s="170">
        <v>9221.5239194876485</v>
      </c>
      <c r="T140" s="170">
        <v>9245.2842581982077</v>
      </c>
      <c r="U140" s="170">
        <v>13115.521841266063</v>
      </c>
      <c r="V140" s="170">
        <v>13034.553011812808</v>
      </c>
      <c r="W140" s="170">
        <v>13162.622500780466</v>
      </c>
      <c r="X140" s="170">
        <v>13778.050330149994</v>
      </c>
      <c r="Y140" s="170">
        <v>13395.402202731042</v>
      </c>
      <c r="Z140" s="170">
        <v>13812.388422882514</v>
      </c>
      <c r="AA140" s="170">
        <v>14341.735358587324</v>
      </c>
      <c r="AB140" s="170">
        <v>15402.654265321898</v>
      </c>
      <c r="AC140" s="170">
        <v>18689.588041478684</v>
      </c>
    </row>
    <row r="141" spans="1:29" ht="16.5" customHeight="1">
      <c r="A141" s="127" t="s">
        <v>511</v>
      </c>
      <c r="B141" s="170">
        <v>0</v>
      </c>
      <c r="C141" s="170">
        <v>0</v>
      </c>
      <c r="D141" s="170">
        <v>0</v>
      </c>
      <c r="E141" s="170">
        <v>0</v>
      </c>
      <c r="F141" s="170">
        <v>0</v>
      </c>
      <c r="G141" s="170">
        <v>0</v>
      </c>
      <c r="H141" s="170">
        <v>0</v>
      </c>
      <c r="I141" s="170">
        <v>0</v>
      </c>
      <c r="J141" s="170">
        <v>0</v>
      </c>
      <c r="K141" s="170">
        <v>0</v>
      </c>
      <c r="L141" s="170">
        <v>0</v>
      </c>
      <c r="M141" s="170">
        <v>10760.353362286467</v>
      </c>
      <c r="N141" s="170">
        <v>11707.847031780813</v>
      </c>
      <c r="O141" s="170">
        <v>13351.327173115058</v>
      </c>
      <c r="P141" s="170">
        <v>16877.74122151874</v>
      </c>
      <c r="Q141" s="170">
        <v>21003.669678231152</v>
      </c>
      <c r="R141" s="170">
        <v>24652.02695634749</v>
      </c>
      <c r="S141" s="170">
        <v>26767.66431733</v>
      </c>
      <c r="T141" s="170">
        <v>26966.97908968891</v>
      </c>
      <c r="U141" s="170">
        <v>28707.063705160428</v>
      </c>
      <c r="V141" s="170">
        <v>28194.248115482998</v>
      </c>
      <c r="W141" s="170">
        <v>30360.194094731389</v>
      </c>
      <c r="X141" s="170">
        <v>32981.379758292052</v>
      </c>
      <c r="Y141" s="170">
        <v>19035.663378847948</v>
      </c>
      <c r="Z141" s="170">
        <v>25751.593934844517</v>
      </c>
      <c r="AA141" s="170">
        <v>88119.088816989257</v>
      </c>
      <c r="AB141" s="170">
        <v>166311.56083381214</v>
      </c>
      <c r="AC141" s="170">
        <v>167980.27627840388</v>
      </c>
    </row>
    <row r="142" spans="1:29" ht="16.5" customHeight="1">
      <c r="A142" s="127" t="s">
        <v>512</v>
      </c>
      <c r="B142" s="170">
        <v>0</v>
      </c>
      <c r="C142" s="170">
        <v>0</v>
      </c>
      <c r="D142" s="170">
        <v>0</v>
      </c>
      <c r="E142" s="170">
        <v>0</v>
      </c>
      <c r="F142" s="170">
        <v>0</v>
      </c>
      <c r="G142" s="170">
        <v>0</v>
      </c>
      <c r="H142" s="170">
        <v>0</v>
      </c>
      <c r="I142" s="170">
        <v>0</v>
      </c>
      <c r="J142" s="170">
        <v>0</v>
      </c>
      <c r="K142" s="170">
        <v>0</v>
      </c>
      <c r="L142" s="170">
        <v>0</v>
      </c>
      <c r="M142" s="170">
        <v>34846.656236140203</v>
      </c>
      <c r="N142" s="170">
        <v>37986.25960259448</v>
      </c>
      <c r="O142" s="170">
        <v>41994.847042471367</v>
      </c>
      <c r="P142" s="170">
        <v>49137.696252347909</v>
      </c>
      <c r="Q142" s="170">
        <v>54228.901752523576</v>
      </c>
      <c r="R142" s="170">
        <v>56740.598796988685</v>
      </c>
      <c r="S142" s="170">
        <v>68119.269656677105</v>
      </c>
      <c r="T142" s="170">
        <v>70853.382116647466</v>
      </c>
      <c r="U142" s="170">
        <v>79462.938278238187</v>
      </c>
      <c r="V142" s="170">
        <v>74880.763901735889</v>
      </c>
      <c r="W142" s="170">
        <v>82297.873481785311</v>
      </c>
      <c r="X142" s="170">
        <v>86204.403561311381</v>
      </c>
      <c r="Y142" s="170">
        <v>88744.968215912086</v>
      </c>
      <c r="Z142" s="170">
        <v>93226.632063865269</v>
      </c>
      <c r="AA142" s="170">
        <v>104434.68183712232</v>
      </c>
      <c r="AB142" s="170">
        <v>129549.74598075156</v>
      </c>
      <c r="AC142" s="170">
        <v>152403.65508482518</v>
      </c>
    </row>
    <row r="143" spans="1:29" ht="16.5" customHeight="1">
      <c r="A143" s="127" t="s">
        <v>513</v>
      </c>
      <c r="B143" s="170">
        <v>0</v>
      </c>
      <c r="C143" s="170">
        <v>0</v>
      </c>
      <c r="D143" s="170">
        <v>0</v>
      </c>
      <c r="E143" s="170">
        <v>0</v>
      </c>
      <c r="F143" s="170">
        <v>0</v>
      </c>
      <c r="G143" s="170">
        <v>0</v>
      </c>
      <c r="H143" s="170">
        <v>0</v>
      </c>
      <c r="I143" s="170">
        <v>0</v>
      </c>
      <c r="J143" s="170">
        <v>0</v>
      </c>
      <c r="K143" s="170">
        <v>0</v>
      </c>
      <c r="L143" s="170">
        <v>0</v>
      </c>
      <c r="M143" s="170">
        <v>2620.5585195823301</v>
      </c>
      <c r="N143" s="170">
        <v>3442.9319636715722</v>
      </c>
      <c r="O143" s="170">
        <v>4395.9498516876847</v>
      </c>
      <c r="P143" s="170">
        <v>5100.2398557426923</v>
      </c>
      <c r="Q143" s="170">
        <v>6112.4411985365077</v>
      </c>
      <c r="R143" s="170">
        <v>7010.7823982904774</v>
      </c>
      <c r="S143" s="170">
        <v>6579.2070535137264</v>
      </c>
      <c r="T143" s="170">
        <v>6306.1225062017656</v>
      </c>
      <c r="U143" s="170">
        <v>5904.7084750757385</v>
      </c>
      <c r="V143" s="170">
        <v>6189.4215135161558</v>
      </c>
      <c r="W143" s="170">
        <v>6458.620839306328</v>
      </c>
      <c r="X143" s="170">
        <v>5733.5264530377663</v>
      </c>
      <c r="Y143" s="170">
        <v>6825.8549233544545</v>
      </c>
      <c r="Z143" s="170">
        <v>7215.868854213737</v>
      </c>
      <c r="AA143" s="170">
        <v>6349.8724907018131</v>
      </c>
      <c r="AB143" s="170">
        <v>8207.5901767271989</v>
      </c>
      <c r="AC143" s="170">
        <v>8030.3851414701167</v>
      </c>
    </row>
    <row r="144" spans="1:29" ht="16.5" customHeight="1">
      <c r="A144" s="127" t="s">
        <v>514</v>
      </c>
      <c r="B144" s="170">
        <v>0</v>
      </c>
      <c r="C144" s="170">
        <v>0</v>
      </c>
      <c r="D144" s="170">
        <v>0</v>
      </c>
      <c r="E144" s="170">
        <v>0</v>
      </c>
      <c r="F144" s="170">
        <v>0</v>
      </c>
      <c r="G144" s="170">
        <v>0</v>
      </c>
      <c r="H144" s="170">
        <v>0</v>
      </c>
      <c r="I144" s="170">
        <v>0</v>
      </c>
      <c r="J144" s="170">
        <v>0</v>
      </c>
      <c r="K144" s="170">
        <v>0</v>
      </c>
      <c r="L144" s="170">
        <v>0</v>
      </c>
      <c r="M144" s="170">
        <v>530.80268890180218</v>
      </c>
      <c r="N144" s="170">
        <v>290.64215398231124</v>
      </c>
      <c r="O144" s="170">
        <v>165.36419575805056</v>
      </c>
      <c r="P144" s="170">
        <v>553.39199023319043</v>
      </c>
      <c r="Q144" s="170">
        <v>507.99376027734172</v>
      </c>
      <c r="R144" s="170">
        <v>756.3554490079548</v>
      </c>
      <c r="S144" s="170">
        <v>1599.6430853170964</v>
      </c>
      <c r="T144" s="170">
        <v>1431.2487540291327</v>
      </c>
      <c r="U144" s="170">
        <v>1860.8360435486916</v>
      </c>
      <c r="V144" s="170">
        <v>1494.1285314351421</v>
      </c>
      <c r="W144" s="170">
        <v>4907.4136773684968</v>
      </c>
      <c r="X144" s="170">
        <v>4139.7459437388006</v>
      </c>
      <c r="Y144" s="170">
        <v>5503.0566049144682</v>
      </c>
      <c r="Z144" s="170">
        <v>5189.6318386239454</v>
      </c>
      <c r="AA144" s="170">
        <v>5898.3984042692846</v>
      </c>
      <c r="AB144" s="170">
        <v>6950.6314918672024</v>
      </c>
      <c r="AC144" s="170">
        <v>9577.3382592941234</v>
      </c>
    </row>
    <row r="145" spans="1:29" ht="16.5" customHeight="1">
      <c r="A145" s="126" t="s">
        <v>515</v>
      </c>
      <c r="B145" s="170">
        <v>0</v>
      </c>
      <c r="C145" s="170">
        <v>0</v>
      </c>
      <c r="D145" s="170">
        <v>0</v>
      </c>
      <c r="E145" s="170">
        <v>0</v>
      </c>
      <c r="F145" s="170">
        <v>0</v>
      </c>
      <c r="G145" s="170">
        <v>0</v>
      </c>
      <c r="H145" s="170">
        <v>0</v>
      </c>
      <c r="I145" s="170">
        <v>0</v>
      </c>
      <c r="J145" s="170">
        <v>0</v>
      </c>
      <c r="K145" s="170">
        <v>0</v>
      </c>
      <c r="L145" s="170">
        <v>0</v>
      </c>
      <c r="M145" s="170">
        <v>72783.992512429817</v>
      </c>
      <c r="N145" s="170">
        <v>71988.234869675201</v>
      </c>
      <c r="O145" s="170">
        <v>129172.1310593752</v>
      </c>
      <c r="P145" s="170">
        <v>93797.570840252083</v>
      </c>
      <c r="Q145" s="170">
        <v>108346.16760073525</v>
      </c>
      <c r="R145" s="170">
        <v>123280.22665050463</v>
      </c>
      <c r="S145" s="170">
        <v>146845.53074923443</v>
      </c>
      <c r="T145" s="170">
        <v>127027.55126086895</v>
      </c>
      <c r="U145" s="170">
        <v>141908.6142250812</v>
      </c>
      <c r="V145" s="170">
        <v>117371.60035074086</v>
      </c>
      <c r="W145" s="170">
        <v>129183.47504374963</v>
      </c>
      <c r="X145" s="170">
        <v>164418.56658799158</v>
      </c>
      <c r="Y145" s="170">
        <v>108350.87944859</v>
      </c>
      <c r="Z145" s="170">
        <v>123917.96521113999</v>
      </c>
      <c r="AA145" s="170">
        <v>152142.51759783999</v>
      </c>
      <c r="AB145" s="170">
        <v>183392.30227758002</v>
      </c>
      <c r="AC145" s="170">
        <v>183742.03437851803</v>
      </c>
    </row>
    <row r="146" spans="1:29" ht="16.5" customHeight="1">
      <c r="A146" s="127" t="s">
        <v>516</v>
      </c>
      <c r="B146" s="170">
        <v>0</v>
      </c>
      <c r="C146" s="170">
        <v>0</v>
      </c>
      <c r="D146" s="170">
        <v>0</v>
      </c>
      <c r="E146" s="170">
        <v>0</v>
      </c>
      <c r="F146" s="170">
        <v>0</v>
      </c>
      <c r="G146" s="170">
        <v>0</v>
      </c>
      <c r="H146" s="170">
        <v>0</v>
      </c>
      <c r="I146" s="170">
        <v>0</v>
      </c>
      <c r="J146" s="170">
        <v>0</v>
      </c>
      <c r="K146" s="170">
        <v>0</v>
      </c>
      <c r="L146" s="170">
        <v>0</v>
      </c>
      <c r="M146" s="170">
        <v>7355.5801954981007</v>
      </c>
      <c r="N146" s="170">
        <v>7864.9282247864749</v>
      </c>
      <c r="O146" s="170">
        <v>8481.7012208778397</v>
      </c>
      <c r="P146" s="170">
        <v>9139.3110710393612</v>
      </c>
      <c r="Q146" s="170">
        <v>11906.624705893217</v>
      </c>
      <c r="R146" s="170">
        <v>14274.361039090621</v>
      </c>
      <c r="S146" s="170">
        <v>15897.635513609022</v>
      </c>
      <c r="T146" s="170">
        <v>16818.687493409987</v>
      </c>
      <c r="U146" s="170">
        <v>19953.587069583711</v>
      </c>
      <c r="V146" s="170">
        <v>22975.609341661377</v>
      </c>
      <c r="W146" s="170">
        <v>28885.620277185386</v>
      </c>
      <c r="X146" s="170">
        <v>29180.410977795953</v>
      </c>
      <c r="Y146" s="170">
        <v>23669.050460320446</v>
      </c>
      <c r="Z146" s="170">
        <v>29938.995336518874</v>
      </c>
      <c r="AA146" s="170">
        <v>33260.832598084475</v>
      </c>
      <c r="AB146" s="170">
        <v>38250.265831794779</v>
      </c>
      <c r="AC146" s="170">
        <v>51426.196350861115</v>
      </c>
    </row>
    <row r="147" spans="1:29" ht="16.5" customHeight="1">
      <c r="A147" s="127" t="s">
        <v>517</v>
      </c>
      <c r="B147" s="170">
        <v>0</v>
      </c>
      <c r="C147" s="170">
        <v>0</v>
      </c>
      <c r="D147" s="170">
        <v>0</v>
      </c>
      <c r="E147" s="170">
        <v>0</v>
      </c>
      <c r="F147" s="170">
        <v>0</v>
      </c>
      <c r="G147" s="170">
        <v>0</v>
      </c>
      <c r="H147" s="170">
        <v>0</v>
      </c>
      <c r="I147" s="170">
        <v>0</v>
      </c>
      <c r="J147" s="170">
        <v>0</v>
      </c>
      <c r="K147" s="170">
        <v>0</v>
      </c>
      <c r="L147" s="170">
        <v>0</v>
      </c>
      <c r="M147" s="170">
        <v>7693.9821275274626</v>
      </c>
      <c r="N147" s="170">
        <v>9430.2537884898666</v>
      </c>
      <c r="O147" s="170">
        <v>13163.984125913021</v>
      </c>
      <c r="P147" s="170">
        <v>16032.937429787115</v>
      </c>
      <c r="Q147" s="170">
        <v>22297.598988115857</v>
      </c>
      <c r="R147" s="170">
        <v>24023.808404169577</v>
      </c>
      <c r="S147" s="170">
        <v>31147.504262965311</v>
      </c>
      <c r="T147" s="170">
        <v>27361.493976570455</v>
      </c>
      <c r="U147" s="170">
        <v>28908.136633546623</v>
      </c>
      <c r="V147" s="170">
        <v>23778.725185435273</v>
      </c>
      <c r="W147" s="170">
        <v>24873.040744119487</v>
      </c>
      <c r="X147" s="170">
        <v>21832.692634273153</v>
      </c>
      <c r="Y147" s="170">
        <v>19311.625271522964</v>
      </c>
      <c r="Z147" s="170">
        <v>19616.99878702905</v>
      </c>
      <c r="AA147" s="170">
        <v>20198.771534989708</v>
      </c>
      <c r="AB147" s="170">
        <v>34965.232317554604</v>
      </c>
      <c r="AC147" s="170">
        <v>28576.694315930989</v>
      </c>
    </row>
    <row r="148" spans="1:29" ht="16.5" customHeight="1">
      <c r="A148" s="127" t="s">
        <v>518</v>
      </c>
      <c r="B148" s="170">
        <v>0</v>
      </c>
      <c r="C148" s="170">
        <v>0</v>
      </c>
      <c r="D148" s="170">
        <v>0</v>
      </c>
      <c r="E148" s="170">
        <v>0</v>
      </c>
      <c r="F148" s="170">
        <v>0</v>
      </c>
      <c r="G148" s="170">
        <v>0</v>
      </c>
      <c r="H148" s="170">
        <v>0</v>
      </c>
      <c r="I148" s="170">
        <v>0</v>
      </c>
      <c r="J148" s="170">
        <v>0</v>
      </c>
      <c r="K148" s="170">
        <v>0</v>
      </c>
      <c r="L148" s="170">
        <v>0</v>
      </c>
      <c r="M148" s="170">
        <v>7715.8996848535789</v>
      </c>
      <c r="N148" s="170">
        <v>7924.4474151927343</v>
      </c>
      <c r="O148" s="170">
        <v>10662.666079375012</v>
      </c>
      <c r="P148" s="170">
        <v>11111.775666971784</v>
      </c>
      <c r="Q148" s="170">
        <v>12361.966661656827</v>
      </c>
      <c r="R148" s="170">
        <v>13906.991487452322</v>
      </c>
      <c r="S148" s="170">
        <v>16086.202586433841</v>
      </c>
      <c r="T148" s="170">
        <v>11030.38897229909</v>
      </c>
      <c r="U148" s="170">
        <v>14345.447023866724</v>
      </c>
      <c r="V148" s="170">
        <v>12618.57477025743</v>
      </c>
      <c r="W148" s="170">
        <v>15527.184207588127</v>
      </c>
      <c r="X148" s="170">
        <v>19561.833023718322</v>
      </c>
      <c r="Y148" s="170">
        <v>11871.809137596354</v>
      </c>
      <c r="Z148" s="170">
        <v>11330.745315676926</v>
      </c>
      <c r="AA148" s="170">
        <v>12817.736438485046</v>
      </c>
      <c r="AB148" s="170">
        <v>12950.219308947122</v>
      </c>
      <c r="AC148" s="170">
        <v>13317.748761337209</v>
      </c>
    </row>
    <row r="149" spans="1:29" ht="16.5" customHeight="1">
      <c r="A149" s="127" t="s">
        <v>519</v>
      </c>
      <c r="B149" s="170">
        <v>0</v>
      </c>
      <c r="C149" s="170">
        <v>0</v>
      </c>
      <c r="D149" s="170">
        <v>0</v>
      </c>
      <c r="E149" s="170">
        <v>0</v>
      </c>
      <c r="F149" s="170">
        <v>0</v>
      </c>
      <c r="G149" s="170">
        <v>0</v>
      </c>
      <c r="H149" s="170">
        <v>0</v>
      </c>
      <c r="I149" s="170">
        <v>0</v>
      </c>
      <c r="J149" s="170">
        <v>0</v>
      </c>
      <c r="K149" s="170">
        <v>0</v>
      </c>
      <c r="L149" s="170">
        <v>0</v>
      </c>
      <c r="M149" s="170">
        <v>7267.3356274897569</v>
      </c>
      <c r="N149" s="170">
        <v>10503.832727738787</v>
      </c>
      <c r="O149" s="170">
        <v>13992.704844599932</v>
      </c>
      <c r="P149" s="170">
        <v>15267.254803747504</v>
      </c>
      <c r="Q149" s="170">
        <v>12266.843115460635</v>
      </c>
      <c r="R149" s="170">
        <v>12215.844801015492</v>
      </c>
      <c r="S149" s="170">
        <v>14589.315769373336</v>
      </c>
      <c r="T149" s="170">
        <v>10066.098362252433</v>
      </c>
      <c r="U149" s="170">
        <v>12838.622159793298</v>
      </c>
      <c r="V149" s="170">
        <v>10832.50768425639</v>
      </c>
      <c r="W149" s="170">
        <v>10905.410313009032</v>
      </c>
      <c r="X149" s="170">
        <v>9230.1625297700994</v>
      </c>
      <c r="Y149" s="170">
        <v>9113.8051049606711</v>
      </c>
      <c r="Z149" s="170">
        <v>8103.7093042877132</v>
      </c>
      <c r="AA149" s="170">
        <v>8223.6657023983062</v>
      </c>
      <c r="AB149" s="170">
        <v>15026.090595805721</v>
      </c>
      <c r="AC149" s="170">
        <v>15842.578826353039</v>
      </c>
    </row>
    <row r="150" spans="1:29" ht="16.5" customHeight="1">
      <c r="A150" s="127" t="s">
        <v>520</v>
      </c>
      <c r="B150" s="170">
        <v>0</v>
      </c>
      <c r="C150" s="170">
        <v>0</v>
      </c>
      <c r="D150" s="170">
        <v>0</v>
      </c>
      <c r="E150" s="170">
        <v>0</v>
      </c>
      <c r="F150" s="170">
        <v>0</v>
      </c>
      <c r="G150" s="170">
        <v>0</v>
      </c>
      <c r="H150" s="170">
        <v>0</v>
      </c>
      <c r="I150" s="170">
        <v>0</v>
      </c>
      <c r="J150" s="170">
        <v>0</v>
      </c>
      <c r="K150" s="170">
        <v>0</v>
      </c>
      <c r="L150" s="170">
        <v>0</v>
      </c>
      <c r="M150" s="170">
        <v>3559.8534670898839</v>
      </c>
      <c r="N150" s="170">
        <v>4174.9497037337378</v>
      </c>
      <c r="O150" s="170">
        <v>5800.7430031363101</v>
      </c>
      <c r="P150" s="170">
        <v>4763.3635535573276</v>
      </c>
      <c r="Q150" s="170">
        <v>4349.5423798220509</v>
      </c>
      <c r="R150" s="170">
        <v>5799.583725463307</v>
      </c>
      <c r="S150" s="170">
        <v>6138.5936446532642</v>
      </c>
      <c r="T150" s="170">
        <v>5146.8427757388554</v>
      </c>
      <c r="U150" s="170">
        <v>5510.5606665194991</v>
      </c>
      <c r="V150" s="170">
        <v>5951.3707392344522</v>
      </c>
      <c r="W150" s="170">
        <v>7960.9145068811249</v>
      </c>
      <c r="X150" s="170">
        <v>6761.4974626800022</v>
      </c>
      <c r="Y150" s="170">
        <v>5901.9162927708303</v>
      </c>
      <c r="Z150" s="170">
        <v>5963.0549609643967</v>
      </c>
      <c r="AA150" s="170">
        <v>7745.6797811354318</v>
      </c>
      <c r="AB150" s="170">
        <v>7810.0113023427784</v>
      </c>
      <c r="AC150" s="170">
        <v>6734.0271801647605</v>
      </c>
    </row>
    <row r="151" spans="1:29" ht="16.5" customHeight="1">
      <c r="A151" s="127" t="s">
        <v>521</v>
      </c>
      <c r="B151" s="170">
        <v>0</v>
      </c>
      <c r="C151" s="170">
        <v>0</v>
      </c>
      <c r="D151" s="170">
        <v>0</v>
      </c>
      <c r="E151" s="170">
        <v>0</v>
      </c>
      <c r="F151" s="170">
        <v>0</v>
      </c>
      <c r="G151" s="170">
        <v>0</v>
      </c>
      <c r="H151" s="170">
        <v>0</v>
      </c>
      <c r="I151" s="170">
        <v>0</v>
      </c>
      <c r="J151" s="170">
        <v>0</v>
      </c>
      <c r="K151" s="170">
        <v>0</v>
      </c>
      <c r="L151" s="170">
        <v>0</v>
      </c>
      <c r="M151" s="170">
        <v>3726.6463990889406</v>
      </c>
      <c r="N151" s="170">
        <v>3799.2104550310337</v>
      </c>
      <c r="O151" s="170">
        <v>4335.3067523305781</v>
      </c>
      <c r="P151" s="170">
        <v>4047.4739522574196</v>
      </c>
      <c r="Q151" s="170">
        <v>4886.354301918178</v>
      </c>
      <c r="R151" s="170">
        <v>5460.3816245987828</v>
      </c>
      <c r="S151" s="170">
        <v>6160.8569438195427</v>
      </c>
      <c r="T151" s="170">
        <v>5272.3811189424778</v>
      </c>
      <c r="U151" s="170">
        <v>5733.1688282035084</v>
      </c>
      <c r="V151" s="170">
        <v>4179.8152092406308</v>
      </c>
      <c r="W151" s="170">
        <v>4344.6040480768106</v>
      </c>
      <c r="X151" s="170">
        <v>3926.4310481691277</v>
      </c>
      <c r="Y151" s="170">
        <v>3185.5202706770115</v>
      </c>
      <c r="Z151" s="170">
        <v>2941.1999753938553</v>
      </c>
      <c r="AA151" s="170">
        <v>4951.6225842150998</v>
      </c>
      <c r="AB151" s="170">
        <v>7076.3687102237673</v>
      </c>
      <c r="AC151" s="170">
        <v>8428.1922589577262</v>
      </c>
    </row>
    <row r="152" spans="1:29" ht="16.5" customHeight="1">
      <c r="A152" s="127" t="s">
        <v>522</v>
      </c>
      <c r="B152" s="170">
        <v>0</v>
      </c>
      <c r="C152" s="170">
        <v>0</v>
      </c>
      <c r="D152" s="170">
        <v>0</v>
      </c>
      <c r="E152" s="170">
        <v>0</v>
      </c>
      <c r="F152" s="170">
        <v>0</v>
      </c>
      <c r="G152" s="170">
        <v>0</v>
      </c>
      <c r="H152" s="170">
        <v>0</v>
      </c>
      <c r="I152" s="170">
        <v>0</v>
      </c>
      <c r="J152" s="170">
        <v>0</v>
      </c>
      <c r="K152" s="170">
        <v>0</v>
      </c>
      <c r="L152" s="170">
        <v>0</v>
      </c>
      <c r="M152" s="170">
        <v>1938.3955852838185</v>
      </c>
      <c r="N152" s="170">
        <v>2085.3488502158189</v>
      </c>
      <c r="O152" s="170">
        <v>2352.0946289334329</v>
      </c>
      <c r="P152" s="170">
        <v>2084.7972262786275</v>
      </c>
      <c r="Q152" s="170">
        <v>2104.9322324109467</v>
      </c>
      <c r="R152" s="170">
        <v>2307.3938529474722</v>
      </c>
      <c r="S152" s="170">
        <v>2478.6007163834361</v>
      </c>
      <c r="T152" s="170">
        <v>2058.9268565212424</v>
      </c>
      <c r="U152" s="170">
        <v>2635.9397747744979</v>
      </c>
      <c r="V152" s="170">
        <v>3026.6076448729268</v>
      </c>
      <c r="W152" s="170">
        <v>3574.4441199240264</v>
      </c>
      <c r="X152" s="170">
        <v>3494.866188624615</v>
      </c>
      <c r="Y152" s="170">
        <v>3023.9933219772615</v>
      </c>
      <c r="Z152" s="170">
        <v>3042.7411860626248</v>
      </c>
      <c r="AA152" s="170">
        <v>3540.3347194997659</v>
      </c>
      <c r="AB152" s="170">
        <v>3437.9074292021096</v>
      </c>
      <c r="AC152" s="170">
        <v>3399.6381243124556</v>
      </c>
    </row>
    <row r="153" spans="1:29" ht="16.5" customHeight="1">
      <c r="A153" s="127" t="s">
        <v>523</v>
      </c>
      <c r="B153" s="170">
        <v>0</v>
      </c>
      <c r="C153" s="170">
        <v>0</v>
      </c>
      <c r="D153" s="170">
        <v>0</v>
      </c>
      <c r="E153" s="170">
        <v>0</v>
      </c>
      <c r="F153" s="170">
        <v>0</v>
      </c>
      <c r="G153" s="170">
        <v>0</v>
      </c>
      <c r="H153" s="170">
        <v>0</v>
      </c>
      <c r="I153" s="170">
        <v>0</v>
      </c>
      <c r="J153" s="170">
        <v>0</v>
      </c>
      <c r="K153" s="170">
        <v>0</v>
      </c>
      <c r="L153" s="170">
        <v>0</v>
      </c>
      <c r="M153" s="170">
        <v>2461.0423886297699</v>
      </c>
      <c r="N153" s="170">
        <v>2656.8435659111578</v>
      </c>
      <c r="O153" s="170">
        <v>2975.3145434659323</v>
      </c>
      <c r="P153" s="170">
        <v>3117.9781493865485</v>
      </c>
      <c r="Q153" s="170">
        <v>3663.9117878909688</v>
      </c>
      <c r="R153" s="170">
        <v>3811.5767742341664</v>
      </c>
      <c r="S153" s="170">
        <v>4683.1483930014474</v>
      </c>
      <c r="T153" s="170">
        <v>3191.7386875472093</v>
      </c>
      <c r="U153" s="170">
        <v>4592.4981983022408</v>
      </c>
      <c r="V153" s="170">
        <v>4016.2089438910275</v>
      </c>
      <c r="W153" s="170">
        <v>2903.8868399476505</v>
      </c>
      <c r="X153" s="170">
        <v>3842.7556310842942</v>
      </c>
      <c r="Y153" s="170">
        <v>2516.8380731609418</v>
      </c>
      <c r="Z153" s="170">
        <v>2548.4541254366709</v>
      </c>
      <c r="AA153" s="170">
        <v>5911.1513497656051</v>
      </c>
      <c r="AB153" s="170">
        <v>9253.0671446871129</v>
      </c>
      <c r="AC153" s="170">
        <v>8653.4664484289824</v>
      </c>
    </row>
    <row r="154" spans="1:29" ht="16.5" customHeight="1" thickBot="1">
      <c r="A154" s="127" t="s">
        <v>524</v>
      </c>
      <c r="B154" s="170">
        <v>0</v>
      </c>
      <c r="C154" s="170">
        <v>0</v>
      </c>
      <c r="D154" s="170">
        <v>0</v>
      </c>
      <c r="E154" s="170">
        <v>0</v>
      </c>
      <c r="F154" s="170">
        <v>0</v>
      </c>
      <c r="G154" s="170">
        <v>0</v>
      </c>
      <c r="H154" s="170">
        <v>0</v>
      </c>
      <c r="I154" s="170">
        <v>0</v>
      </c>
      <c r="J154" s="170">
        <v>0</v>
      </c>
      <c r="K154" s="170">
        <v>0</v>
      </c>
      <c r="L154" s="170">
        <v>0</v>
      </c>
      <c r="M154" s="170">
        <v>31065.257036968505</v>
      </c>
      <c r="N154" s="170">
        <v>23548.42013857558</v>
      </c>
      <c r="O154" s="170">
        <v>67407.615860743128</v>
      </c>
      <c r="P154" s="170">
        <v>28232.678987226394</v>
      </c>
      <c r="Q154" s="170">
        <v>34508.393427566538</v>
      </c>
      <c r="R154" s="170">
        <v>41480.284941532889</v>
      </c>
      <c r="S154" s="170">
        <v>49663.672918995253</v>
      </c>
      <c r="T154" s="170">
        <v>46080.993017587178</v>
      </c>
      <c r="U154" s="170">
        <v>47390.653870491093</v>
      </c>
      <c r="V154" s="170">
        <v>29992.180831891361</v>
      </c>
      <c r="W154" s="170">
        <v>30208.369987017984</v>
      </c>
      <c r="X154" s="170">
        <v>66587.917091875977</v>
      </c>
      <c r="Y154" s="170">
        <v>29756.321515603511</v>
      </c>
      <c r="Z154" s="170">
        <v>40432.066219769906</v>
      </c>
      <c r="AA154" s="170">
        <v>55492.722889266559</v>
      </c>
      <c r="AB154" s="170">
        <v>54623.139637021988</v>
      </c>
      <c r="AC154" s="170">
        <v>47363.492112171734</v>
      </c>
    </row>
    <row r="155" spans="1:29" s="113" customFormat="1" ht="16.5" customHeight="1" thickBot="1">
      <c r="A155" s="118" t="s">
        <v>525</v>
      </c>
      <c r="B155" s="168">
        <v>1800.7522638034116</v>
      </c>
      <c r="C155" s="168">
        <v>7577.0176559108349</v>
      </c>
      <c r="D155" s="168">
        <v>20164.293039367229</v>
      </c>
      <c r="E155" s="168">
        <v>20982.204108619229</v>
      </c>
      <c r="F155" s="168">
        <v>21737.100309591246</v>
      </c>
      <c r="G155" s="168">
        <v>31577.204619118551</v>
      </c>
      <c r="H155" s="168">
        <v>39080.048409829426</v>
      </c>
      <c r="I155" s="168">
        <v>49341.425306879544</v>
      </c>
      <c r="J155" s="168">
        <v>52673.167728718137</v>
      </c>
      <c r="K155" s="168">
        <v>48748.230040261136</v>
      </c>
      <c r="L155" s="168">
        <v>57650.388867201029</v>
      </c>
      <c r="M155" s="168">
        <v>71438.38914085034</v>
      </c>
      <c r="N155" s="168">
        <v>39436.418863114821</v>
      </c>
      <c r="O155" s="168">
        <v>77891.168941549375</v>
      </c>
      <c r="P155" s="168">
        <v>91891.030860780302</v>
      </c>
      <c r="Q155" s="168">
        <v>84987.966247999459</v>
      </c>
      <c r="R155" s="168">
        <v>72159.144911743118</v>
      </c>
      <c r="S155" s="168">
        <v>-23482.40341254037</v>
      </c>
      <c r="T155" s="168">
        <v>-120502.22652793161</v>
      </c>
      <c r="U155" s="168">
        <v>-161275.62491593923</v>
      </c>
      <c r="V155" s="168">
        <v>-124261.48663466153</v>
      </c>
      <c r="W155" s="168">
        <v>-120221.28239453673</v>
      </c>
      <c r="X155" s="168">
        <v>-95064.746691207416</v>
      </c>
      <c r="Y155" s="168">
        <v>-743254.81760445994</v>
      </c>
      <c r="Z155" s="168">
        <v>-35067.934490291867</v>
      </c>
      <c r="AA155" s="168">
        <v>46408.461610137107</v>
      </c>
      <c r="AB155" s="168">
        <v>-228499.38129265362</v>
      </c>
      <c r="AC155" s="168">
        <v>-42923.691540566098</v>
      </c>
    </row>
    <row r="156" spans="1:29" s="113" customFormat="1" ht="16.5" customHeight="1" thickBot="1">
      <c r="A156" s="118" t="s">
        <v>526</v>
      </c>
      <c r="B156" s="168">
        <v>0</v>
      </c>
      <c r="C156" s="168">
        <v>0</v>
      </c>
      <c r="D156" s="168">
        <v>0</v>
      </c>
      <c r="E156" s="168">
        <v>0</v>
      </c>
      <c r="F156" s="168">
        <v>0</v>
      </c>
      <c r="G156" s="168">
        <v>0</v>
      </c>
      <c r="H156" s="168">
        <v>0</v>
      </c>
      <c r="I156" s="168">
        <v>2634.31762953</v>
      </c>
      <c r="J156" s="168">
        <v>2399.6937906200001</v>
      </c>
      <c r="K156" s="168">
        <v>2590.5418248299998</v>
      </c>
      <c r="L156" s="168">
        <v>1787.7170058170109</v>
      </c>
      <c r="M156" s="168">
        <v>1229.16250193</v>
      </c>
      <c r="N156" s="168">
        <v>1373.0629399900001</v>
      </c>
      <c r="O156" s="168">
        <v>1357.8888167600001</v>
      </c>
      <c r="P156" s="168">
        <v>1137.9017346199998</v>
      </c>
      <c r="Q156" s="168">
        <v>1313.7562010299998</v>
      </c>
      <c r="R156" s="168">
        <v>858.41207205000001</v>
      </c>
      <c r="S156" s="168">
        <v>0</v>
      </c>
      <c r="T156" s="168">
        <v>3888.43473464</v>
      </c>
      <c r="U156" s="168">
        <v>3883.6203607800007</v>
      </c>
      <c r="V156" s="168">
        <v>7577.3329971742442</v>
      </c>
      <c r="W156" s="168">
        <v>6621.9054468976392</v>
      </c>
      <c r="X156" s="168">
        <v>6760.6702836702998</v>
      </c>
      <c r="Y156" s="168">
        <v>1916.6332838551743</v>
      </c>
      <c r="Z156" s="168">
        <v>-456.38076930534965</v>
      </c>
      <c r="AA156" s="168">
        <v>8229.5062944102865</v>
      </c>
      <c r="AB156" s="168">
        <v>-32855.424092203699</v>
      </c>
      <c r="AC156" s="168">
        <v>-428.44913441000023</v>
      </c>
    </row>
    <row r="157" spans="1:29" s="113" customFormat="1" ht="18">
      <c r="A157" s="143" t="s">
        <v>527</v>
      </c>
      <c r="B157" s="169">
        <v>0</v>
      </c>
      <c r="C157" s="169">
        <v>0</v>
      </c>
      <c r="D157" s="169">
        <v>0</v>
      </c>
      <c r="E157" s="169">
        <v>0</v>
      </c>
      <c r="F157" s="169">
        <v>0</v>
      </c>
      <c r="G157" s="169">
        <v>0</v>
      </c>
      <c r="H157" s="169">
        <v>0</v>
      </c>
      <c r="I157" s="169">
        <v>2634.31762953</v>
      </c>
      <c r="J157" s="169">
        <v>2399.6937906200001</v>
      </c>
      <c r="K157" s="169">
        <v>2590.5418248299998</v>
      </c>
      <c r="L157" s="169">
        <v>1787.7170058170109</v>
      </c>
      <c r="M157" s="169">
        <v>1229.16250193</v>
      </c>
      <c r="N157" s="169">
        <v>1373.0629399900001</v>
      </c>
      <c r="O157" s="169">
        <v>1357.8888167600001</v>
      </c>
      <c r="P157" s="169">
        <v>1137.9017346199998</v>
      </c>
      <c r="Q157" s="169">
        <v>1313.7562010299998</v>
      </c>
      <c r="R157" s="169">
        <v>858.41207205000001</v>
      </c>
      <c r="S157" s="169">
        <v>0</v>
      </c>
      <c r="T157" s="169">
        <v>3888.43473464</v>
      </c>
      <c r="U157" s="169">
        <v>3721.92036078</v>
      </c>
      <c r="V157" s="169">
        <v>4461.6879573199994</v>
      </c>
      <c r="W157" s="169">
        <v>4908.0118469500012</v>
      </c>
      <c r="X157" s="169">
        <v>5371.649369499999</v>
      </c>
      <c r="Y157" s="169">
        <v>932.27381365999997</v>
      </c>
      <c r="Z157" s="169">
        <v>0</v>
      </c>
      <c r="AA157" s="169">
        <v>0</v>
      </c>
      <c r="AB157" s="169">
        <v>0</v>
      </c>
      <c r="AC157" s="169">
        <v>0</v>
      </c>
    </row>
    <row r="158" spans="1:29" s="113" customFormat="1" ht="18">
      <c r="A158" s="143" t="s">
        <v>528</v>
      </c>
      <c r="B158" s="169">
        <v>0</v>
      </c>
      <c r="C158" s="169">
        <v>0</v>
      </c>
      <c r="D158" s="169">
        <v>0</v>
      </c>
      <c r="E158" s="169">
        <v>0</v>
      </c>
      <c r="F158" s="169">
        <v>0</v>
      </c>
      <c r="G158" s="169">
        <v>0</v>
      </c>
      <c r="H158" s="169">
        <v>0</v>
      </c>
      <c r="I158" s="169">
        <v>0</v>
      </c>
      <c r="J158" s="169">
        <v>0</v>
      </c>
      <c r="K158" s="169">
        <v>0</v>
      </c>
      <c r="L158" s="169">
        <v>0</v>
      </c>
      <c r="M158" s="169">
        <v>0</v>
      </c>
      <c r="N158" s="169">
        <v>0</v>
      </c>
      <c r="O158" s="169">
        <v>0</v>
      </c>
      <c r="P158" s="169">
        <v>0</v>
      </c>
      <c r="Q158" s="169">
        <v>0</v>
      </c>
      <c r="R158" s="169">
        <v>0</v>
      </c>
      <c r="S158" s="169">
        <v>0</v>
      </c>
      <c r="T158" s="169">
        <v>0</v>
      </c>
      <c r="U158" s="169">
        <v>161.69999999999982</v>
      </c>
      <c r="V158" s="169">
        <v>3115.6450398542452</v>
      </c>
      <c r="W158" s="169">
        <v>1713.8935999476384</v>
      </c>
      <c r="X158" s="169">
        <v>1389.0209141703017</v>
      </c>
      <c r="Y158" s="169">
        <v>984.35947019517494</v>
      </c>
      <c r="Z158" s="169">
        <v>-456.38076930534965</v>
      </c>
      <c r="AA158" s="169">
        <v>534.24856471028556</v>
      </c>
      <c r="AB158" s="169">
        <v>827.41885950630171</v>
      </c>
      <c r="AC158" s="169">
        <v>-428.44913441000023</v>
      </c>
    </row>
    <row r="159" spans="1:29" s="113" customFormat="1" ht="18">
      <c r="A159" s="143" t="s">
        <v>529</v>
      </c>
      <c r="B159" s="169">
        <v>0</v>
      </c>
      <c r="C159" s="169">
        <v>0</v>
      </c>
      <c r="D159" s="169">
        <v>0</v>
      </c>
      <c r="E159" s="169">
        <v>0</v>
      </c>
      <c r="F159" s="169">
        <v>0</v>
      </c>
      <c r="G159" s="169">
        <v>0</v>
      </c>
      <c r="H159" s="169">
        <v>0</v>
      </c>
      <c r="I159" s="169">
        <v>0</v>
      </c>
      <c r="J159" s="169">
        <v>0</v>
      </c>
      <c r="K159" s="169">
        <v>0</v>
      </c>
      <c r="L159" s="169">
        <v>0</v>
      </c>
      <c r="M159" s="169">
        <v>0</v>
      </c>
      <c r="N159" s="169">
        <v>0</v>
      </c>
      <c r="O159" s="169">
        <v>0</v>
      </c>
      <c r="P159" s="169">
        <v>0</v>
      </c>
      <c r="Q159" s="169">
        <v>0</v>
      </c>
      <c r="R159" s="169">
        <v>0</v>
      </c>
      <c r="S159" s="169">
        <v>0</v>
      </c>
      <c r="T159" s="169">
        <v>0</v>
      </c>
      <c r="U159" s="169">
        <v>0</v>
      </c>
      <c r="V159" s="169">
        <v>0</v>
      </c>
      <c r="W159" s="169">
        <v>0</v>
      </c>
      <c r="X159" s="169">
        <v>0</v>
      </c>
      <c r="Y159" s="169">
        <v>0</v>
      </c>
      <c r="Z159" s="169">
        <v>0</v>
      </c>
      <c r="AA159" s="169">
        <v>0</v>
      </c>
      <c r="AB159" s="169">
        <v>-25987.585222009999</v>
      </c>
      <c r="AC159" s="169">
        <v>0</v>
      </c>
    </row>
    <row r="160" spans="1:29" s="113" customFormat="1" ht="18.75" thickBot="1">
      <c r="A160" s="143" t="s">
        <v>530</v>
      </c>
      <c r="B160" s="169">
        <v>0</v>
      </c>
      <c r="C160" s="169">
        <v>0</v>
      </c>
      <c r="D160" s="169">
        <v>0</v>
      </c>
      <c r="E160" s="169">
        <v>0</v>
      </c>
      <c r="F160" s="169">
        <v>0</v>
      </c>
      <c r="G160" s="169">
        <v>0</v>
      </c>
      <c r="H160" s="169">
        <v>0</v>
      </c>
      <c r="I160" s="169">
        <v>0</v>
      </c>
      <c r="J160" s="169">
        <v>0</v>
      </c>
      <c r="K160" s="169">
        <v>0</v>
      </c>
      <c r="L160" s="169">
        <v>0</v>
      </c>
      <c r="M160" s="169">
        <v>0</v>
      </c>
      <c r="N160" s="169">
        <v>0</v>
      </c>
      <c r="O160" s="169">
        <v>0</v>
      </c>
      <c r="P160" s="169">
        <v>0</v>
      </c>
      <c r="Q160" s="169">
        <v>0</v>
      </c>
      <c r="R160" s="169">
        <v>0</v>
      </c>
      <c r="S160" s="169">
        <v>0</v>
      </c>
      <c r="T160" s="169">
        <v>0</v>
      </c>
      <c r="U160" s="169">
        <v>0</v>
      </c>
      <c r="V160" s="169">
        <v>0</v>
      </c>
      <c r="W160" s="169">
        <v>0</v>
      </c>
      <c r="X160" s="169">
        <v>0</v>
      </c>
      <c r="Y160" s="169">
        <v>0</v>
      </c>
      <c r="Z160" s="169">
        <v>0</v>
      </c>
      <c r="AA160" s="169">
        <v>7695.2577296999998</v>
      </c>
      <c r="AB160" s="169">
        <v>-7695.2577296999998</v>
      </c>
      <c r="AC160" s="169">
        <v>0</v>
      </c>
    </row>
    <row r="161" spans="1:29" s="113" customFormat="1" ht="16.5" thickBot="1">
      <c r="A161" s="118" t="s">
        <v>531</v>
      </c>
      <c r="B161" s="168">
        <v>-4176.2622638034118</v>
      </c>
      <c r="C161" s="168">
        <v>-2535.5149356862253</v>
      </c>
      <c r="D161" s="168">
        <v>2507.7969606327715</v>
      </c>
      <c r="E161" s="168">
        <v>-551.60410861922924</v>
      </c>
      <c r="F161" s="168">
        <v>242.70537020437337</v>
      </c>
      <c r="G161" s="168">
        <v>341.89306334144658</v>
      </c>
      <c r="H161" s="168">
        <v>-336.16438357942457</v>
      </c>
      <c r="I161" s="168">
        <v>409.43961918043919</v>
      </c>
      <c r="J161" s="168">
        <v>668.50456215185545</v>
      </c>
      <c r="K161" s="168">
        <v>12.797920998863759</v>
      </c>
      <c r="L161" s="168">
        <v>0.61108965194398479</v>
      </c>
      <c r="M161" s="168">
        <v>-1359.6291991603737</v>
      </c>
      <c r="N161" s="168">
        <v>1633.7314538651788</v>
      </c>
      <c r="O161" s="168">
        <v>-525.80204831936271</v>
      </c>
      <c r="P161" s="168">
        <v>6.5648668996841479</v>
      </c>
      <c r="Q161" s="168">
        <v>-215.74992664944818</v>
      </c>
      <c r="R161" s="168">
        <v>2273.1457185868603</v>
      </c>
      <c r="S161" s="168">
        <v>3010.6993193604303</v>
      </c>
      <c r="T161" s="168">
        <v>-41.788200468399452</v>
      </c>
      <c r="U161" s="168">
        <v>-2081.3518416307907</v>
      </c>
      <c r="V161" s="168">
        <v>-1758.0519406726298</v>
      </c>
      <c r="W161" s="168">
        <v>-2567.9902365409303</v>
      </c>
      <c r="X161" s="168">
        <v>-594.82827412293545</v>
      </c>
      <c r="Y161" s="168">
        <v>-3927.6813657953949</v>
      </c>
      <c r="Z161" s="168">
        <v>-347.8606222326838</v>
      </c>
      <c r="AA161" s="168">
        <v>308.69543488253748</v>
      </c>
      <c r="AB161" s="168">
        <v>-3177.963227482689</v>
      </c>
      <c r="AC161" s="168">
        <v>-2012.1925056438567</v>
      </c>
    </row>
    <row r="162" spans="1:29" s="113" customFormat="1" ht="16.5" thickBot="1">
      <c r="A162" s="118" t="s">
        <v>532</v>
      </c>
      <c r="B162" s="168">
        <v>-2375.5100000000002</v>
      </c>
      <c r="C162" s="168">
        <v>5041.502720224611</v>
      </c>
      <c r="D162" s="168">
        <v>22672.090000000004</v>
      </c>
      <c r="E162" s="168">
        <v>20430.599999999999</v>
      </c>
      <c r="F162" s="168">
        <v>21979.80567979562</v>
      </c>
      <c r="G162" s="168">
        <v>31919.097682459993</v>
      </c>
      <c r="H162" s="168">
        <v>38743.884026250002</v>
      </c>
      <c r="I162" s="168">
        <v>52385.18255559</v>
      </c>
      <c r="J162" s="168">
        <v>55741.366081490014</v>
      </c>
      <c r="K162" s="168">
        <v>51351.569786090004</v>
      </c>
      <c r="L162" s="168">
        <v>59438.716962669983</v>
      </c>
      <c r="M162" s="168">
        <v>71307.922443619958</v>
      </c>
      <c r="N162" s="168">
        <v>42443.213256969997</v>
      </c>
      <c r="O162" s="168">
        <v>78723.25570999</v>
      </c>
      <c r="P162" s="168">
        <v>93035.497462299958</v>
      </c>
      <c r="Q162" s="168">
        <v>86085.972522380005</v>
      </c>
      <c r="R162" s="168">
        <v>75290.702702379975</v>
      </c>
      <c r="S162" s="168">
        <v>-20471.704093179938</v>
      </c>
      <c r="T162" s="168">
        <v>-116655.57999376001</v>
      </c>
      <c r="U162" s="168">
        <v>-159473.35639679001</v>
      </c>
      <c r="V162" s="168">
        <v>-118442.20557815993</v>
      </c>
      <c r="W162" s="168">
        <v>-116167.36718418002</v>
      </c>
      <c r="X162" s="168">
        <v>-88898.90468166006</v>
      </c>
      <c r="Y162" s="168">
        <v>-745265.8656864001</v>
      </c>
      <c r="Z162" s="168">
        <v>-35872.175881829899</v>
      </c>
      <c r="AA162" s="168">
        <v>54946.663339429935</v>
      </c>
      <c r="AB162" s="168">
        <v>-264532.76861234003</v>
      </c>
      <c r="AC162" s="168">
        <v>-45364.333180619971</v>
      </c>
    </row>
    <row r="163" spans="1:29" s="113" customFormat="1" ht="18.75" thickBot="1">
      <c r="A163" s="118" t="s">
        <v>533</v>
      </c>
      <c r="B163" s="168">
        <v>-18931.52</v>
      </c>
      <c r="C163" s="168">
        <v>-50141.500000000007</v>
      </c>
      <c r="D163" s="168">
        <v>-49008.09</v>
      </c>
      <c r="E163" s="168">
        <v>-45447.03</v>
      </c>
      <c r="F163" s="168">
        <v>-47253.044310794998</v>
      </c>
      <c r="G163" s="168">
        <v>-41948.247818379998</v>
      </c>
      <c r="H163" s="168">
        <v>-100896.42538302</v>
      </c>
      <c r="I163" s="168">
        <v>-79418.516576930007</v>
      </c>
      <c r="J163" s="168">
        <v>-129025.37226321001</v>
      </c>
      <c r="K163" s="168">
        <v>-125826.61550689999</v>
      </c>
      <c r="L163" s="168">
        <v>-119045.70192031999</v>
      </c>
      <c r="M163" s="168">
        <v>-96198.680136319992</v>
      </c>
      <c r="N163" s="168">
        <v>-149806.40014884001</v>
      </c>
      <c r="O163" s="168">
        <v>-124508.74253006998</v>
      </c>
      <c r="P163" s="168">
        <v>-180553.06946837</v>
      </c>
      <c r="Q163" s="168">
        <v>-147267.63260292</v>
      </c>
      <c r="R163" s="168">
        <v>-185845.65065011999</v>
      </c>
      <c r="S163" s="168">
        <v>-251070.21532889004</v>
      </c>
      <c r="T163" s="168">
        <v>-397240.4236946301</v>
      </c>
      <c r="U163" s="168">
        <v>-318362.14190560998</v>
      </c>
      <c r="V163" s="168">
        <v>-340907.29406903998</v>
      </c>
      <c r="W163" s="168">
        <v>-310307.13012869994</v>
      </c>
      <c r="X163" s="168">
        <v>-310115.06477194</v>
      </c>
      <c r="Y163" s="168">
        <v>-266657.22489965998</v>
      </c>
      <c r="Z163" s="168">
        <v>-407282.23516923003</v>
      </c>
      <c r="AA163" s="168">
        <v>-503234.39651791996</v>
      </c>
      <c r="AB163" s="168">
        <v>-614548.08589738002</v>
      </c>
      <c r="AC163" s="168">
        <v>-855206.34790093999</v>
      </c>
    </row>
    <row r="164" spans="1:29" s="113" customFormat="1" ht="18.75" thickBot="1">
      <c r="A164" s="118" t="s">
        <v>534</v>
      </c>
      <c r="B164" s="168">
        <v>-21307.030000000002</v>
      </c>
      <c r="C164" s="168">
        <v>-45099.997279775402</v>
      </c>
      <c r="D164" s="168">
        <v>-26336</v>
      </c>
      <c r="E164" s="168">
        <v>-25016.43</v>
      </c>
      <c r="F164" s="168">
        <v>-25273.238630999382</v>
      </c>
      <c r="G164" s="168">
        <v>-10029.150135919997</v>
      </c>
      <c r="H164" s="168">
        <v>-62152.541356770002</v>
      </c>
      <c r="I164" s="168">
        <v>-27033.334021340001</v>
      </c>
      <c r="J164" s="168">
        <v>-73284.006181720004</v>
      </c>
      <c r="K164" s="168">
        <v>-74475.045720809983</v>
      </c>
      <c r="L164" s="168">
        <v>-59606.984957650013</v>
      </c>
      <c r="M164" s="168">
        <v>-24890.757692700019</v>
      </c>
      <c r="N164" s="168">
        <v>-107363.18689187001</v>
      </c>
      <c r="O164" s="168">
        <v>-45785.48682007999</v>
      </c>
      <c r="P164" s="168">
        <v>-87517.572006070026</v>
      </c>
      <c r="Q164" s="168">
        <v>-61181.660080539987</v>
      </c>
      <c r="R164" s="168">
        <v>-110554.94794774</v>
      </c>
      <c r="S164" s="168">
        <v>-271541.91942206991</v>
      </c>
      <c r="T164" s="168">
        <v>-513896.00368839002</v>
      </c>
      <c r="U164" s="168">
        <v>-477835.49830240005</v>
      </c>
      <c r="V164" s="168">
        <v>-459349.49964719976</v>
      </c>
      <c r="W164" s="168">
        <v>-426474.49731288</v>
      </c>
      <c r="X164" s="168">
        <v>-399013.96945360006</v>
      </c>
      <c r="Y164" s="168">
        <v>-1011923.0905860601</v>
      </c>
      <c r="Z164" s="168">
        <v>-443154.41105105996</v>
      </c>
      <c r="AA164" s="168">
        <v>-448287.73317849007</v>
      </c>
      <c r="AB164" s="168">
        <v>-879080.85450972</v>
      </c>
      <c r="AC164" s="168">
        <v>-900570.68108156009</v>
      </c>
    </row>
    <row r="165" spans="1:29" ht="16.5" customHeight="1" thickBot="1">
      <c r="A165" s="144"/>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c r="AA165" s="172"/>
      <c r="AB165" s="172"/>
      <c r="AC165" s="172"/>
    </row>
    <row r="166" spans="1:29" ht="16.5" customHeight="1" thickBot="1">
      <c r="A166" s="146" t="s">
        <v>363</v>
      </c>
      <c r="B166" s="173"/>
      <c r="C166" s="173"/>
      <c r="D166" s="173"/>
      <c r="E166" s="173"/>
      <c r="F166" s="173"/>
      <c r="G166" s="173"/>
      <c r="H166" s="173"/>
      <c r="I166" s="173"/>
      <c r="J166" s="173"/>
      <c r="K166" s="173"/>
      <c r="L166" s="173"/>
      <c r="M166" s="173"/>
      <c r="N166" s="173"/>
      <c r="O166" s="173"/>
      <c r="P166" s="173"/>
      <c r="Q166" s="173"/>
      <c r="R166" s="173"/>
      <c r="S166" s="173"/>
      <c r="T166" s="173"/>
      <c r="U166" s="173"/>
      <c r="V166" s="173"/>
      <c r="W166" s="173"/>
      <c r="X166" s="173"/>
      <c r="Y166" s="173"/>
      <c r="Z166" s="173"/>
      <c r="AA166" s="173"/>
      <c r="AB166" s="173"/>
      <c r="AC166" s="173"/>
    </row>
    <row r="167" spans="1:29" ht="16.5" customHeight="1">
      <c r="A167" s="120" t="s">
        <v>535</v>
      </c>
      <c r="B167" s="169">
        <v>44260.756999999991</v>
      </c>
      <c r="C167" s="169">
        <v>46283.80232114</v>
      </c>
      <c r="D167" s="169">
        <v>49065.283592859989</v>
      </c>
      <c r="E167" s="169">
        <v>55715.133753156995</v>
      </c>
      <c r="F167" s="169">
        <v>62491.889843650002</v>
      </c>
      <c r="G167" s="169">
        <v>71027.679417610008</v>
      </c>
      <c r="H167" s="169">
        <v>80730.149979530004</v>
      </c>
      <c r="I167" s="169">
        <v>93765.38227237</v>
      </c>
      <c r="J167" s="169">
        <v>108434.09657806001</v>
      </c>
      <c r="K167" s="169">
        <v>123520.19059296299</v>
      </c>
      <c r="L167" s="169">
        <v>140411.78868083199</v>
      </c>
      <c r="M167" s="169">
        <v>163355.27142175997</v>
      </c>
      <c r="N167" s="169">
        <v>182008.44418068998</v>
      </c>
      <c r="O167" s="169">
        <v>211968.37845694157</v>
      </c>
      <c r="P167" s="169">
        <v>245891.94119519001</v>
      </c>
      <c r="Q167" s="169">
        <v>275764.68869792449</v>
      </c>
      <c r="R167" s="169">
        <v>307146.98513935</v>
      </c>
      <c r="S167" s="169">
        <v>337503.13283227006</v>
      </c>
      <c r="T167" s="169">
        <v>350272.00390151003</v>
      </c>
      <c r="U167" s="169">
        <v>358137.31866677001</v>
      </c>
      <c r="V167" s="169">
        <v>374784.82827434002</v>
      </c>
      <c r="W167" s="169">
        <v>391181.79700336</v>
      </c>
      <c r="X167" s="169">
        <v>413331.29458847002</v>
      </c>
      <c r="Y167" s="169">
        <v>404772.51361546002</v>
      </c>
      <c r="Z167" s="169">
        <v>462244.11482627003</v>
      </c>
      <c r="AA167" s="169">
        <v>535709.90323387005</v>
      </c>
      <c r="AB167" s="169">
        <v>592666.51679287991</v>
      </c>
      <c r="AC167" s="169">
        <v>641155.47902840003</v>
      </c>
    </row>
    <row r="168" spans="1:29" ht="16.5" customHeight="1">
      <c r="A168" s="148" t="s">
        <v>536</v>
      </c>
      <c r="B168" s="170">
        <v>44260.756999999991</v>
      </c>
      <c r="C168" s="170">
        <v>46283.80232114</v>
      </c>
      <c r="D168" s="170">
        <v>49065.283592859989</v>
      </c>
      <c r="E168" s="170">
        <v>55715.133753156995</v>
      </c>
      <c r="F168" s="170">
        <v>62491.889843650002</v>
      </c>
      <c r="G168" s="170">
        <v>71027.679417610008</v>
      </c>
      <c r="H168" s="170">
        <v>80730.149979530004</v>
      </c>
      <c r="I168" s="170">
        <v>93765.38227237</v>
      </c>
      <c r="J168" s="170">
        <v>108434.09657806001</v>
      </c>
      <c r="K168" s="170">
        <v>123520.19059296299</v>
      </c>
      <c r="L168" s="170">
        <v>140411.78868083199</v>
      </c>
      <c r="M168" s="170">
        <v>163355.27142175997</v>
      </c>
      <c r="N168" s="170">
        <v>182008.44418068998</v>
      </c>
      <c r="O168" s="170">
        <v>211968.37845694157</v>
      </c>
      <c r="P168" s="170">
        <v>245891.94119519001</v>
      </c>
      <c r="Q168" s="170">
        <v>273974.68869792449</v>
      </c>
      <c r="R168" s="170">
        <v>298127.26513935003</v>
      </c>
      <c r="S168" s="170">
        <v>319451.13273144007</v>
      </c>
      <c r="T168" s="170">
        <v>324865.03021673998</v>
      </c>
      <c r="U168" s="170">
        <v>340544.00866676995</v>
      </c>
      <c r="V168" s="170">
        <v>360883.47827434004</v>
      </c>
      <c r="W168" s="170">
        <v>377647.25700336002</v>
      </c>
      <c r="X168" s="170">
        <v>403136.36458846991</v>
      </c>
      <c r="Y168" s="170">
        <v>395365.30361545994</v>
      </c>
      <c r="Z168" s="170">
        <v>454972.81482626998</v>
      </c>
      <c r="AA168" s="170">
        <v>532613.81323386997</v>
      </c>
      <c r="AB168" s="170">
        <v>592666.51679287991</v>
      </c>
      <c r="AC168" s="170">
        <v>641155.47902840003</v>
      </c>
    </row>
    <row r="169" spans="1:29" ht="16.5" customHeight="1">
      <c r="A169" s="148" t="s">
        <v>537</v>
      </c>
      <c r="B169" s="170">
        <v>0</v>
      </c>
      <c r="C169" s="170">
        <v>0</v>
      </c>
      <c r="D169" s="170">
        <v>0</v>
      </c>
      <c r="E169" s="170">
        <v>0</v>
      </c>
      <c r="F169" s="170">
        <v>0</v>
      </c>
      <c r="G169" s="170">
        <v>0</v>
      </c>
      <c r="H169" s="170">
        <v>0</v>
      </c>
      <c r="I169" s="170">
        <v>0</v>
      </c>
      <c r="J169" s="170">
        <v>0</v>
      </c>
      <c r="K169" s="170">
        <v>0</v>
      </c>
      <c r="L169" s="170">
        <v>0</v>
      </c>
      <c r="M169" s="170">
        <v>0</v>
      </c>
      <c r="N169" s="170">
        <v>0</v>
      </c>
      <c r="O169" s="170">
        <v>0</v>
      </c>
      <c r="P169" s="170">
        <v>0</v>
      </c>
      <c r="Q169" s="170">
        <v>1790</v>
      </c>
      <c r="R169" s="170">
        <v>9019.7199999999993</v>
      </c>
      <c r="S169" s="170">
        <v>18052.000100830002</v>
      </c>
      <c r="T169" s="170">
        <v>25406.973684770001</v>
      </c>
      <c r="U169" s="170">
        <v>17593.309999999998</v>
      </c>
      <c r="V169" s="170">
        <v>13901.35</v>
      </c>
      <c r="W169" s="170">
        <v>13534.54</v>
      </c>
      <c r="X169" s="170">
        <v>10194.93</v>
      </c>
      <c r="Y169" s="170">
        <v>9407.2100000000009</v>
      </c>
      <c r="Z169" s="170">
        <v>7271.3</v>
      </c>
      <c r="AA169" s="170">
        <v>3096.09</v>
      </c>
      <c r="AB169" s="170">
        <v>0</v>
      </c>
      <c r="AC169" s="170">
        <v>0</v>
      </c>
    </row>
    <row r="170" spans="1:29" ht="16.5" customHeight="1">
      <c r="A170" s="148"/>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0"/>
      <c r="AA170" s="170"/>
      <c r="AB170" s="170"/>
      <c r="AC170" s="170"/>
    </row>
    <row r="171" spans="1:29" ht="16.5" customHeight="1">
      <c r="A171" s="149" t="s">
        <v>538</v>
      </c>
      <c r="B171" s="169">
        <v>0</v>
      </c>
      <c r="C171" s="169">
        <v>0</v>
      </c>
      <c r="D171" s="169">
        <v>0</v>
      </c>
      <c r="E171" s="169">
        <v>0</v>
      </c>
      <c r="F171" s="169">
        <v>0</v>
      </c>
      <c r="G171" s="169">
        <v>0</v>
      </c>
      <c r="H171" s="169">
        <v>0</v>
      </c>
      <c r="I171" s="169">
        <v>0</v>
      </c>
      <c r="J171" s="169">
        <v>0</v>
      </c>
      <c r="K171" s="169">
        <v>0</v>
      </c>
      <c r="L171" s="169">
        <v>0</v>
      </c>
      <c r="M171" s="169">
        <v>0</v>
      </c>
      <c r="N171" s="169">
        <v>0</v>
      </c>
      <c r="O171" s="169">
        <v>0</v>
      </c>
      <c r="P171" s="169">
        <v>32645.829784411959</v>
      </c>
      <c r="Q171" s="169">
        <v>35657.329448625533</v>
      </c>
      <c r="R171" s="169">
        <v>37257.043787034498</v>
      </c>
      <c r="S171" s="169">
        <v>41443.620761197039</v>
      </c>
      <c r="T171" s="169">
        <v>42409.550734693628</v>
      </c>
      <c r="U171" s="169">
        <v>49342.18555247147</v>
      </c>
      <c r="V171" s="169">
        <v>44972.996986445163</v>
      </c>
      <c r="W171" s="169">
        <v>46537.822546702504</v>
      </c>
      <c r="X171" s="169">
        <v>46456.166560781305</v>
      </c>
      <c r="Y171" s="169">
        <v>45132.609483524131</v>
      </c>
      <c r="Z171" s="169">
        <v>45741.294144405016</v>
      </c>
      <c r="AA171" s="169">
        <v>51931.793767422343</v>
      </c>
      <c r="AB171" s="169">
        <v>57000.71439086696</v>
      </c>
      <c r="AC171" s="169">
        <v>61376.53549494152</v>
      </c>
    </row>
    <row r="172" spans="1:29" ht="16.5" customHeight="1">
      <c r="A172" s="149" t="s">
        <v>539</v>
      </c>
      <c r="B172" s="169">
        <v>0</v>
      </c>
      <c r="C172" s="169">
        <v>0</v>
      </c>
      <c r="D172" s="169">
        <v>0</v>
      </c>
      <c r="E172" s="169">
        <v>0</v>
      </c>
      <c r="F172" s="169">
        <v>0</v>
      </c>
      <c r="G172" s="169">
        <v>0</v>
      </c>
      <c r="H172" s="169">
        <v>0</v>
      </c>
      <c r="I172" s="169">
        <v>0</v>
      </c>
      <c r="J172" s="169">
        <v>0</v>
      </c>
      <c r="K172" s="169">
        <v>0</v>
      </c>
      <c r="L172" s="169">
        <v>0</v>
      </c>
      <c r="M172" s="169">
        <v>28105.82378092</v>
      </c>
      <c r="N172" s="169">
        <v>34008.274210189993</v>
      </c>
      <c r="O172" s="169">
        <v>44741.217602420002</v>
      </c>
      <c r="P172" s="169">
        <v>52630.671911409991</v>
      </c>
      <c r="Q172" s="169">
        <v>59448.829302500009</v>
      </c>
      <c r="R172" s="169">
        <v>63224.225254640012</v>
      </c>
      <c r="S172" s="169">
        <v>77535.696529410008</v>
      </c>
      <c r="T172" s="169">
        <v>55531.954472056779</v>
      </c>
      <c r="U172" s="169">
        <v>64812.871412311106</v>
      </c>
      <c r="V172" s="169">
        <v>45694.004741468874</v>
      </c>
      <c r="W172" s="169">
        <v>53132.627145881284</v>
      </c>
      <c r="X172" s="169">
        <v>56593.355894300468</v>
      </c>
      <c r="Y172" s="169">
        <v>104904.49770114284</v>
      </c>
      <c r="Z172" s="169">
        <v>56828.235615489837</v>
      </c>
      <c r="AA172" s="169">
        <v>45054.645522598679</v>
      </c>
      <c r="AB172" s="169">
        <v>81365.330225764425</v>
      </c>
      <c r="AC172" s="169">
        <v>86102.105361341906</v>
      </c>
    </row>
    <row r="173" spans="1:29" ht="16.5" customHeight="1">
      <c r="A173" s="148"/>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0"/>
      <c r="AA173" s="170"/>
      <c r="AB173" s="170"/>
      <c r="AC173" s="170"/>
    </row>
    <row r="174" spans="1:29" ht="16.5" customHeight="1">
      <c r="A174" s="120" t="s">
        <v>540</v>
      </c>
      <c r="B174" s="169">
        <v>0</v>
      </c>
      <c r="C174" s="169">
        <v>0</v>
      </c>
      <c r="D174" s="169">
        <v>0</v>
      </c>
      <c r="E174" s="169">
        <v>0</v>
      </c>
      <c r="F174" s="169">
        <v>0</v>
      </c>
      <c r="G174" s="169">
        <v>0</v>
      </c>
      <c r="H174" s="169">
        <v>0</v>
      </c>
      <c r="I174" s="169">
        <v>0</v>
      </c>
      <c r="J174" s="169">
        <v>0</v>
      </c>
      <c r="K174" s="169">
        <v>0</v>
      </c>
      <c r="L174" s="169">
        <v>7340.045810470001</v>
      </c>
      <c r="M174" s="169">
        <v>11360.35549254</v>
      </c>
      <c r="N174" s="169">
        <v>17934.774625410002</v>
      </c>
      <c r="O174" s="169">
        <v>22082.003026660001</v>
      </c>
      <c r="P174" s="169">
        <v>28022.183039069998</v>
      </c>
      <c r="Q174" s="169">
        <v>39306.916016039999</v>
      </c>
      <c r="R174" s="169">
        <v>44714.809573480001</v>
      </c>
      <c r="S174" s="169">
        <v>57698.039652339998</v>
      </c>
      <c r="T174" s="169">
        <v>47259.2575028422</v>
      </c>
      <c r="U174" s="169">
        <v>42042.7385737277</v>
      </c>
      <c r="V174" s="169">
        <v>29598.034460666917</v>
      </c>
      <c r="W174" s="169">
        <v>27595.644090912589</v>
      </c>
      <c r="X174" s="169">
        <v>27080.980714942139</v>
      </c>
      <c r="Y174" s="169">
        <v>0</v>
      </c>
      <c r="Z174" s="169">
        <v>0</v>
      </c>
      <c r="AA174" s="169">
        <v>0</v>
      </c>
      <c r="AB174" s="169">
        <v>0</v>
      </c>
      <c r="AC174" s="169">
        <v>0</v>
      </c>
    </row>
    <row r="175" spans="1:29" ht="16.5" customHeight="1">
      <c r="A175" s="148" t="s">
        <v>541</v>
      </c>
      <c r="B175" s="169">
        <v>0</v>
      </c>
      <c r="C175" s="169">
        <v>0</v>
      </c>
      <c r="D175" s="169">
        <v>0</v>
      </c>
      <c r="E175" s="169">
        <v>0</v>
      </c>
      <c r="F175" s="169">
        <v>0</v>
      </c>
      <c r="G175" s="169">
        <v>0</v>
      </c>
      <c r="H175" s="169">
        <v>0</v>
      </c>
      <c r="I175" s="169">
        <v>0</v>
      </c>
      <c r="J175" s="169">
        <v>0</v>
      </c>
      <c r="K175" s="169">
        <v>0</v>
      </c>
      <c r="L175" s="169">
        <v>0</v>
      </c>
      <c r="M175" s="169">
        <v>0</v>
      </c>
      <c r="N175" s="169">
        <v>1571.8583626700001</v>
      </c>
      <c r="O175" s="169">
        <v>1572</v>
      </c>
      <c r="P175" s="169">
        <v>7711.73732191</v>
      </c>
      <c r="Q175" s="169">
        <v>11251.950025569999</v>
      </c>
      <c r="R175" s="169">
        <v>14187.186229260002</v>
      </c>
      <c r="S175" s="169">
        <v>17430.721753889997</v>
      </c>
      <c r="T175" s="169">
        <v>20709.186034509999</v>
      </c>
      <c r="U175" s="169">
        <v>7965.2845291499998</v>
      </c>
      <c r="V175" s="169">
        <v>3617.9420092</v>
      </c>
      <c r="W175" s="169">
        <v>4569.4876020400006</v>
      </c>
      <c r="X175" s="169">
        <v>4642.3933998700013</v>
      </c>
      <c r="Y175" s="169">
        <v>2547.8864371700001</v>
      </c>
      <c r="Z175" s="169">
        <v>1400.0097697699998</v>
      </c>
      <c r="AA175" s="169">
        <v>749.23303179000015</v>
      </c>
      <c r="AB175" s="169">
        <v>9328.23755265</v>
      </c>
      <c r="AC175" s="169">
        <v>12890.94831362</v>
      </c>
    </row>
    <row r="177" spans="1:29" ht="16.5" customHeight="1" thickBot="1">
      <c r="A177" s="150" t="s">
        <v>542</v>
      </c>
      <c r="B177" s="174">
        <v>0</v>
      </c>
      <c r="C177" s="174">
        <v>0</v>
      </c>
      <c r="D177" s="174">
        <v>0</v>
      </c>
      <c r="E177" s="174">
        <v>0</v>
      </c>
      <c r="F177" s="174">
        <v>0</v>
      </c>
      <c r="G177" s="174">
        <v>0</v>
      </c>
      <c r="H177" s="174">
        <v>0</v>
      </c>
      <c r="I177" s="174">
        <v>0</v>
      </c>
      <c r="J177" s="174">
        <v>0</v>
      </c>
      <c r="K177" s="174">
        <v>0</v>
      </c>
      <c r="L177" s="174">
        <v>0</v>
      </c>
      <c r="M177" s="174">
        <v>-14244</v>
      </c>
      <c r="N177" s="174">
        <v>0</v>
      </c>
      <c r="O177" s="174">
        <v>0</v>
      </c>
      <c r="P177" s="174">
        <v>0</v>
      </c>
      <c r="Q177" s="174">
        <v>12400</v>
      </c>
      <c r="R177" s="174">
        <v>0</v>
      </c>
      <c r="S177" s="174">
        <v>0</v>
      </c>
      <c r="T177" s="174">
        <v>855</v>
      </c>
      <c r="U177" s="174">
        <v>0</v>
      </c>
      <c r="V177" s="174">
        <v>0</v>
      </c>
      <c r="W177" s="174">
        <v>4020.9750354400003</v>
      </c>
      <c r="X177" s="174">
        <v>0</v>
      </c>
      <c r="Y177" s="174">
        <v>0</v>
      </c>
      <c r="Z177" s="174">
        <v>0</v>
      </c>
      <c r="AA177" s="174">
        <v>0</v>
      </c>
      <c r="AB177" s="174">
        <v>0</v>
      </c>
      <c r="AC177" s="174">
        <v>0</v>
      </c>
    </row>
    <row r="178" spans="1:29" ht="11.25" customHeight="1">
      <c r="A178" s="175"/>
    </row>
    <row r="179" spans="1:29" ht="15">
      <c r="A179" s="161" t="s">
        <v>545</v>
      </c>
    </row>
    <row r="180" spans="1:29" ht="15" customHeight="1">
      <c r="A180" s="163" t="s">
        <v>546</v>
      </c>
    </row>
    <row r="181" spans="1:29" ht="51">
      <c r="A181" s="163" t="s">
        <v>547</v>
      </c>
    </row>
    <row r="182" spans="1:29" ht="34.5" customHeight="1">
      <c r="A182" s="164" t="s">
        <v>548</v>
      </c>
    </row>
    <row r="183" spans="1:29" ht="25.5">
      <c r="A183" s="164" t="s">
        <v>549</v>
      </c>
    </row>
    <row r="184" spans="1:29" ht="15">
      <c r="A184" s="164" t="s">
        <v>550</v>
      </c>
    </row>
    <row r="185" spans="1:29" ht="18.600000000000001" customHeight="1">
      <c r="A185" s="163" t="s">
        <v>551</v>
      </c>
    </row>
    <row r="186" spans="1:29" ht="43.5" customHeight="1">
      <c r="A186" s="164" t="s">
        <v>552</v>
      </c>
    </row>
    <row r="187" spans="1:29" ht="25.5">
      <c r="A187" s="164" t="s">
        <v>553</v>
      </c>
    </row>
    <row r="188" spans="1:29" ht="19.899999999999999" customHeight="1">
      <c r="A188" s="164" t="s">
        <v>554</v>
      </c>
    </row>
    <row r="189" spans="1:29" ht="74.45" customHeight="1">
      <c r="A189" s="164" t="s">
        <v>555</v>
      </c>
    </row>
    <row r="190" spans="1:29" ht="76.5">
      <c r="A190" s="163" t="s">
        <v>556</v>
      </c>
    </row>
    <row r="191" spans="1:29" ht="87.6" customHeight="1">
      <c r="A191" s="164" t="s">
        <v>557</v>
      </c>
    </row>
    <row r="192" spans="1:29" ht="19.149999999999999" customHeight="1">
      <c r="A192" s="164" t="s">
        <v>558</v>
      </c>
    </row>
    <row r="193" spans="1:1" ht="28.9" customHeight="1">
      <c r="A193" s="164" t="s">
        <v>559</v>
      </c>
    </row>
    <row r="194" spans="1:1" ht="43.15" customHeight="1">
      <c r="A194" s="163" t="s">
        <v>560</v>
      </c>
    </row>
    <row r="195" spans="1:1" ht="30" customHeight="1">
      <c r="A195" s="164" t="s">
        <v>561</v>
      </c>
    </row>
    <row r="196" spans="1:1" ht="15">
      <c r="A196"/>
    </row>
  </sheetData>
  <hyperlinks>
    <hyperlink ref="A1" location="Índice!A1" display="Voltar" xr:uid="{080F35C8-85A3-416A-B1A7-992187802928}"/>
  </hyperlinks>
  <pageMargins left="0.7" right="0.7" top="0.75" bottom="0.75" header="0.3" footer="0.3"/>
  <pageSetup paperSize="9" scale="5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E7B7-87C8-461C-863E-209983061FAF}">
  <sheetPr>
    <tabColor theme="5" tint="-0.499984740745262"/>
  </sheetPr>
  <dimension ref="A2:N92"/>
  <sheetViews>
    <sheetView showGridLines="0" zoomScale="90" zoomScaleNormal="90" workbookViewId="0">
      <pane xSplit="1" ySplit="4" topLeftCell="B5" activePane="bottomRight" state="frozen"/>
      <selection activeCell="A25" sqref="A25"/>
      <selection pane="topRight" activeCell="A25" sqref="A25"/>
      <selection pane="bottomLeft" activeCell="A25" sqref="A25"/>
      <selection pane="bottomRight" activeCell="C5" sqref="C5"/>
    </sheetView>
  </sheetViews>
  <sheetFormatPr defaultRowHeight="15.75"/>
  <cols>
    <col min="1" max="1" width="76.7109375" style="44" customWidth="1"/>
    <col min="2" max="13" width="9.140625" style="43"/>
  </cols>
  <sheetData>
    <row r="2" spans="1:13" ht="18.75">
      <c r="A2" s="42" t="s">
        <v>287</v>
      </c>
    </row>
    <row r="3" spans="1:13" ht="16.5" thickBot="1"/>
    <row r="4" spans="1:13" ht="16.5" thickBot="1">
      <c r="A4" s="45" t="s">
        <v>288</v>
      </c>
      <c r="B4" s="46">
        <v>2024</v>
      </c>
      <c r="C4" s="46">
        <v>2025</v>
      </c>
      <c r="D4" s="46">
        <v>2026</v>
      </c>
      <c r="E4" s="46">
        <v>2027</v>
      </c>
      <c r="F4" s="46">
        <v>2028</v>
      </c>
      <c r="G4" s="46">
        <v>2029</v>
      </c>
      <c r="H4" s="46">
        <v>2030</v>
      </c>
      <c r="I4" s="46">
        <v>2031</v>
      </c>
      <c r="J4" s="46">
        <v>2032</v>
      </c>
      <c r="K4" s="46">
        <v>2033</v>
      </c>
      <c r="L4" s="46">
        <v>2034</v>
      </c>
      <c r="M4" s="46">
        <v>2035</v>
      </c>
    </row>
    <row r="5" spans="1:13" ht="27.75" customHeight="1" thickBot="1">
      <c r="A5" s="47" t="s">
        <v>289</v>
      </c>
      <c r="B5" s="48">
        <v>2679.44160626551</v>
      </c>
      <c r="C5" s="48">
        <v>2929.9544538244677</v>
      </c>
      <c r="D5" s="48">
        <v>3198.2821628329307</v>
      </c>
      <c r="E5" s="48">
        <v>3419.5939065410848</v>
      </c>
      <c r="F5" s="48">
        <v>3680.5093914196373</v>
      </c>
      <c r="G5" s="48">
        <v>3952.2369014247174</v>
      </c>
      <c r="H5" s="48">
        <v>4219.7072905958012</v>
      </c>
      <c r="I5" s="48">
        <v>4510.9380351098944</v>
      </c>
      <c r="J5" s="48">
        <v>4807.3270398007326</v>
      </c>
      <c r="K5" s="48">
        <v>5010.8858051279931</v>
      </c>
      <c r="L5" s="48">
        <v>5245.5200257814677</v>
      </c>
      <c r="M5" s="48">
        <v>5481.5865310095851</v>
      </c>
    </row>
    <row r="6" spans="1:13">
      <c r="A6" s="49" t="s">
        <v>290</v>
      </c>
      <c r="B6" s="50">
        <v>1690.0204045533901</v>
      </c>
      <c r="C6" s="50">
        <v>1878.2395382261416</v>
      </c>
      <c r="D6" s="50">
        <v>2045.2829933675891</v>
      </c>
      <c r="E6" s="50">
        <v>2163.1184539097576</v>
      </c>
      <c r="F6" s="50">
        <v>2273.0438192773431</v>
      </c>
      <c r="G6" s="50">
        <v>2418.2671496145363</v>
      </c>
      <c r="H6" s="50">
        <v>2590.0319855940429</v>
      </c>
      <c r="I6" s="50">
        <v>2790.5205439770361</v>
      </c>
      <c r="J6" s="50">
        <v>2963.9642960635656</v>
      </c>
      <c r="K6" s="50">
        <v>3155.9362890458947</v>
      </c>
      <c r="L6" s="50">
        <v>3357.5253979904251</v>
      </c>
      <c r="M6" s="50">
        <v>3560.2145815481304</v>
      </c>
    </row>
    <row r="7" spans="1:13">
      <c r="A7" s="51" t="s">
        <v>291</v>
      </c>
      <c r="B7" s="52">
        <v>77.749320546839996</v>
      </c>
      <c r="C7" s="52">
        <v>92.451033377000016</v>
      </c>
      <c r="D7" s="52">
        <v>99.184466200706922</v>
      </c>
      <c r="E7" s="52">
        <v>107.22377084994235</v>
      </c>
      <c r="F7" s="52">
        <v>116.58394987752871</v>
      </c>
      <c r="G7" s="52">
        <v>126.88371369676696</v>
      </c>
      <c r="H7" s="52">
        <v>139.11577490233287</v>
      </c>
      <c r="I7" s="52">
        <v>153.62057973043261</v>
      </c>
      <c r="J7" s="52">
        <v>170.3637920898104</v>
      </c>
      <c r="K7" s="52">
        <v>189.33948113848558</v>
      </c>
      <c r="L7" s="52">
        <v>210.93128554710862</v>
      </c>
      <c r="M7" s="52">
        <v>235.10150096968709</v>
      </c>
    </row>
    <row r="8" spans="1:13">
      <c r="A8" s="51" t="s">
        <v>292</v>
      </c>
      <c r="B8" s="52">
        <v>84.37324293271999</v>
      </c>
      <c r="C8" s="52">
        <v>89.400886109598062</v>
      </c>
      <c r="D8" s="52">
        <v>92.844612253055985</v>
      </c>
      <c r="E8" s="52">
        <v>100.32259363025054</v>
      </c>
      <c r="F8" s="52">
        <v>107.06289168156141</v>
      </c>
      <c r="G8" s="52">
        <v>113.92718161808031</v>
      </c>
      <c r="H8" s="52">
        <v>121.05728469381411</v>
      </c>
      <c r="I8" s="52">
        <v>128.6935753724598</v>
      </c>
      <c r="J8" s="52">
        <v>136.95789931122732</v>
      </c>
      <c r="K8" s="52">
        <v>145.90014680789446</v>
      </c>
      <c r="L8" s="52">
        <v>155.60217580305476</v>
      </c>
      <c r="M8" s="52">
        <v>166.01869650626125</v>
      </c>
    </row>
    <row r="9" spans="1:13">
      <c r="A9" s="53" t="s">
        <v>293</v>
      </c>
      <c r="B9" s="52">
        <v>8.1605302689299997</v>
      </c>
      <c r="C9" s="52">
        <v>11.689207193749548</v>
      </c>
      <c r="D9" s="52">
        <v>10.365819720441744</v>
      </c>
      <c r="E9" s="52">
        <v>10.282005764354015</v>
      </c>
      <c r="F9" s="52">
        <v>10.208855274744481</v>
      </c>
      <c r="G9" s="52">
        <v>10.152219743734911</v>
      </c>
      <c r="H9" s="52">
        <v>10.637952846263866</v>
      </c>
      <c r="I9" s="52">
        <v>11.146919313019801</v>
      </c>
      <c r="J9" s="52">
        <v>11.680229414743692</v>
      </c>
      <c r="K9" s="52">
        <v>12.239051058575813</v>
      </c>
      <c r="L9" s="52">
        <v>12.824600558959427</v>
      </c>
      <c r="M9" s="52">
        <v>13.438144932253705</v>
      </c>
    </row>
    <row r="10" spans="1:13">
      <c r="A10" s="53" t="s">
        <v>294</v>
      </c>
      <c r="B10" s="52">
        <v>3.3410842196699999</v>
      </c>
      <c r="C10" s="52">
        <v>3.509534455813474</v>
      </c>
      <c r="D10" s="52">
        <v>3.5482385768997662</v>
      </c>
      <c r="E10" s="52">
        <v>3.6988712331961788</v>
      </c>
      <c r="F10" s="52">
        <v>3.8338921409004767</v>
      </c>
      <c r="G10" s="52">
        <v>3.9837320608025104</v>
      </c>
      <c r="H10" s="52">
        <v>4.1065399330197856</v>
      </c>
      <c r="I10" s="52">
        <v>4.2354527967130133</v>
      </c>
      <c r="J10" s="52">
        <v>4.3683778784362532</v>
      </c>
      <c r="K10" s="52">
        <v>4.5062751758596917</v>
      </c>
      <c r="L10" s="52">
        <v>4.6492287409083177</v>
      </c>
      <c r="M10" s="52">
        <v>4.7970946146477029</v>
      </c>
    </row>
    <row r="11" spans="1:13">
      <c r="A11" s="53" t="s">
        <v>295</v>
      </c>
      <c r="B11" s="52">
        <v>8.6231572163299983</v>
      </c>
      <c r="C11" s="52">
        <v>9.5605253715757179</v>
      </c>
      <c r="D11" s="52">
        <v>10.184520765370365</v>
      </c>
      <c r="E11" s="52">
        <v>10.466866687839767</v>
      </c>
      <c r="F11" s="52">
        <v>10.944009064449874</v>
      </c>
      <c r="G11" s="52">
        <v>11.299676291145003</v>
      </c>
      <c r="H11" s="52">
        <v>11.958708066293404</v>
      </c>
      <c r="I11" s="52">
        <v>12.645153091718887</v>
      </c>
      <c r="J11" s="52">
        <v>13.377222649701194</v>
      </c>
      <c r="K11" s="52">
        <v>14.156163488409661</v>
      </c>
      <c r="L11" s="52">
        <v>14.98448550851124</v>
      </c>
      <c r="M11" s="52">
        <v>15.861267584656202</v>
      </c>
    </row>
    <row r="12" spans="1:13">
      <c r="A12" s="53" t="s">
        <v>296</v>
      </c>
      <c r="B12" s="52">
        <v>29.621167074399995</v>
      </c>
      <c r="C12" s="52">
        <v>31.936627499997194</v>
      </c>
      <c r="D12" s="52">
        <v>34.830573944381626</v>
      </c>
      <c r="E12" s="52">
        <v>37.665078435018373</v>
      </c>
      <c r="F12" s="52">
        <v>40.872948418359677</v>
      </c>
      <c r="G12" s="52">
        <v>44.206177806646075</v>
      </c>
      <c r="H12" s="52">
        <v>47.580499128537909</v>
      </c>
      <c r="I12" s="52">
        <v>51.265140584231268</v>
      </c>
      <c r="J12" s="52">
        <v>55.356532609886884</v>
      </c>
      <c r="K12" s="52">
        <v>59.891763227753515</v>
      </c>
      <c r="L12" s="52">
        <v>64.939295520164876</v>
      </c>
      <c r="M12" s="52">
        <v>70.44739237459433</v>
      </c>
    </row>
    <row r="13" spans="1:13">
      <c r="A13" s="53" t="s">
        <v>297</v>
      </c>
      <c r="B13" s="52">
        <v>34.62730415339</v>
      </c>
      <c r="C13" s="52">
        <v>32.70499158846215</v>
      </c>
      <c r="D13" s="52">
        <v>33.915459245962481</v>
      </c>
      <c r="E13" s="52">
        <v>38.209771509842234</v>
      </c>
      <c r="F13" s="52">
        <v>41.203186783106894</v>
      </c>
      <c r="G13" s="52">
        <v>44.285375715751826</v>
      </c>
      <c r="H13" s="52">
        <v>46.773584719699159</v>
      </c>
      <c r="I13" s="52">
        <v>49.400909586776834</v>
      </c>
      <c r="J13" s="52">
        <v>52.175536758459302</v>
      </c>
      <c r="K13" s="52">
        <v>55.106893857295795</v>
      </c>
      <c r="L13" s="52">
        <v>58.204565474510908</v>
      </c>
      <c r="M13" s="52">
        <v>61.474797000109291</v>
      </c>
    </row>
    <row r="14" spans="1:13">
      <c r="A14" s="51" t="s">
        <v>298</v>
      </c>
      <c r="B14" s="52">
        <v>785.16224620657999</v>
      </c>
      <c r="C14" s="52">
        <v>870.19514843754382</v>
      </c>
      <c r="D14" s="52">
        <v>955.00880676004931</v>
      </c>
      <c r="E14" s="52">
        <v>1001.2050031006642</v>
      </c>
      <c r="F14" s="52">
        <v>1044.3615745259767</v>
      </c>
      <c r="G14" s="52">
        <v>1106.6810789950159</v>
      </c>
      <c r="H14" s="52">
        <v>1193.5084761558996</v>
      </c>
      <c r="I14" s="52">
        <v>1302.8819764197101</v>
      </c>
      <c r="J14" s="52">
        <v>1392.7147629901988</v>
      </c>
      <c r="K14" s="52">
        <v>1490.664561168451</v>
      </c>
      <c r="L14" s="52">
        <v>1588.873858429547</v>
      </c>
      <c r="M14" s="52">
        <v>1693.1610697933688</v>
      </c>
    </row>
    <row r="15" spans="1:13">
      <c r="A15" s="54" t="s">
        <v>299</v>
      </c>
      <c r="B15" s="52">
        <v>71.023575528729992</v>
      </c>
      <c r="C15" s="52">
        <v>75.183708049994635</v>
      </c>
      <c r="D15" s="52">
        <v>79.654288520757376</v>
      </c>
      <c r="E15" s="52">
        <v>85.601433094315553</v>
      </c>
      <c r="F15" s="52">
        <v>86.414799868887499</v>
      </c>
      <c r="G15" s="52">
        <v>89.004091626992249</v>
      </c>
      <c r="H15" s="52">
        <v>96.474726852370509</v>
      </c>
      <c r="I15" s="52">
        <v>131.75246142089833</v>
      </c>
      <c r="J15" s="52">
        <v>139.91369880059517</v>
      </c>
      <c r="K15" s="52">
        <v>149.91342768491904</v>
      </c>
      <c r="L15" s="52">
        <v>160.31470933808691</v>
      </c>
      <c r="M15" s="52">
        <v>170.40613736952025</v>
      </c>
    </row>
    <row r="16" spans="1:13">
      <c r="A16" s="54" t="s">
        <v>300</v>
      </c>
      <c r="B16" s="52">
        <v>280.43758793703006</v>
      </c>
      <c r="C16" s="52">
        <v>316.56952745280398</v>
      </c>
      <c r="D16" s="52">
        <v>335.57431058866513</v>
      </c>
      <c r="E16" s="52">
        <v>357.42302876908786</v>
      </c>
      <c r="F16" s="52">
        <v>378.64571596336191</v>
      </c>
      <c r="G16" s="52">
        <v>406.23625077478323</v>
      </c>
      <c r="H16" s="52">
        <v>443.62718014336781</v>
      </c>
      <c r="I16" s="52">
        <v>471.38004480874702</v>
      </c>
      <c r="J16" s="52">
        <v>500.7587863773096</v>
      </c>
      <c r="K16" s="52">
        <v>532.1339059395425</v>
      </c>
      <c r="L16" s="52">
        <v>558.5790751387151</v>
      </c>
      <c r="M16" s="52">
        <v>586.52013214689691</v>
      </c>
    </row>
    <row r="17" spans="1:13">
      <c r="A17" s="54" t="s">
        <v>301</v>
      </c>
      <c r="B17" s="52">
        <v>433.70108274082003</v>
      </c>
      <c r="C17" s="52">
        <v>478.44191293474506</v>
      </c>
      <c r="D17" s="52">
        <v>539.78020765062672</v>
      </c>
      <c r="E17" s="52">
        <v>558.18054123726063</v>
      </c>
      <c r="F17" s="52">
        <v>579.30105869372721</v>
      </c>
      <c r="G17" s="52">
        <v>611.44073659324044</v>
      </c>
      <c r="H17" s="52">
        <v>653.40656916016133</v>
      </c>
      <c r="I17" s="52">
        <v>699.7494701900647</v>
      </c>
      <c r="J17" s="52">
        <v>752.04227781229395</v>
      </c>
      <c r="K17" s="52">
        <v>808.61722754398943</v>
      </c>
      <c r="L17" s="52">
        <v>869.98007395274487</v>
      </c>
      <c r="M17" s="52">
        <v>936.23480027695166</v>
      </c>
    </row>
    <row r="18" spans="1:13">
      <c r="A18" s="53" t="s">
        <v>302</v>
      </c>
      <c r="B18" s="52">
        <v>184.36841370323003</v>
      </c>
      <c r="C18" s="52">
        <v>203.72685096990128</v>
      </c>
      <c r="D18" s="52">
        <v>223.51904512701083</v>
      </c>
      <c r="E18" s="52">
        <v>240.51811964018566</v>
      </c>
      <c r="F18" s="52">
        <v>257.84343903989441</v>
      </c>
      <c r="G18" s="52">
        <v>275.87037589357726</v>
      </c>
      <c r="H18" s="52">
        <v>294.92532073372871</v>
      </c>
      <c r="I18" s="52">
        <v>314.98493027413872</v>
      </c>
      <c r="J18" s="52">
        <v>336.88893951798849</v>
      </c>
      <c r="K18" s="52">
        <v>360.61298860935949</v>
      </c>
      <c r="L18" s="52">
        <v>386.38162138538797</v>
      </c>
      <c r="M18" s="52">
        <v>414.15798447673575</v>
      </c>
    </row>
    <row r="19" spans="1:13">
      <c r="A19" s="53" t="s">
        <v>303</v>
      </c>
      <c r="B19" s="52">
        <v>147.04158239194001</v>
      </c>
      <c r="C19" s="52">
        <v>163.89199372505769</v>
      </c>
      <c r="D19" s="52">
        <v>185.9031989517114</v>
      </c>
      <c r="E19" s="52">
        <v>173.38952017156768</v>
      </c>
      <c r="F19" s="52">
        <v>163.27644352903911</v>
      </c>
      <c r="G19" s="52">
        <v>162.5041017042434</v>
      </c>
      <c r="H19" s="52">
        <v>171.77262182539792</v>
      </c>
      <c r="I19" s="52">
        <v>183.0779727091315</v>
      </c>
      <c r="J19" s="52">
        <v>197.25916603541586</v>
      </c>
      <c r="K19" s="52">
        <v>212.5456551731067</v>
      </c>
      <c r="L19" s="52">
        <v>229.02911486755292</v>
      </c>
      <c r="M19" s="52">
        <v>246.78545360419554</v>
      </c>
    </row>
    <row r="20" spans="1:13">
      <c r="A20" s="53" t="s">
        <v>304</v>
      </c>
      <c r="B20" s="52">
        <v>79.910088198929998</v>
      </c>
      <c r="C20" s="52">
        <v>85.507121370237215</v>
      </c>
      <c r="D20" s="52">
        <v>104.02787614604715</v>
      </c>
      <c r="E20" s="52">
        <v>115.62996239824045</v>
      </c>
      <c r="F20" s="52">
        <v>127.06000179058566</v>
      </c>
      <c r="G20" s="52">
        <v>139.57370107773056</v>
      </c>
      <c r="H20" s="52">
        <v>150.82672955772577</v>
      </c>
      <c r="I20" s="52">
        <v>163.26786952118243</v>
      </c>
      <c r="J20" s="52">
        <v>176.77779260617714</v>
      </c>
      <c r="K20" s="52">
        <v>191.43809586391248</v>
      </c>
      <c r="L20" s="52">
        <v>207.41763860743069</v>
      </c>
      <c r="M20" s="52">
        <v>224.77088104346336</v>
      </c>
    </row>
    <row r="21" spans="1:13">
      <c r="A21" s="53" t="s">
        <v>305</v>
      </c>
      <c r="B21" s="52">
        <v>22.38099844672</v>
      </c>
      <c r="C21" s="52">
        <v>25.315946869548849</v>
      </c>
      <c r="D21" s="52">
        <v>26.330087425857403</v>
      </c>
      <c r="E21" s="52">
        <v>28.642939027266831</v>
      </c>
      <c r="F21" s="52">
        <v>31.12117433420805</v>
      </c>
      <c r="G21" s="52">
        <v>33.492557917689219</v>
      </c>
      <c r="H21" s="52">
        <v>35.88189704330896</v>
      </c>
      <c r="I21" s="52">
        <v>38.418697685612116</v>
      </c>
      <c r="J21" s="52">
        <v>41.116379652712425</v>
      </c>
      <c r="K21" s="52">
        <v>44.020487897610749</v>
      </c>
      <c r="L21" s="52">
        <v>47.151699092373228</v>
      </c>
      <c r="M21" s="52">
        <v>50.520481152556854</v>
      </c>
    </row>
    <row r="22" spans="1:13">
      <c r="A22" s="51" t="s">
        <v>306</v>
      </c>
      <c r="B22" s="52">
        <v>67.74846906898</v>
      </c>
      <c r="C22" s="52">
        <v>84.872510337000008</v>
      </c>
      <c r="D22" s="52">
        <v>107.55644964142451</v>
      </c>
      <c r="E22" s="52">
        <v>118.35994494207603</v>
      </c>
      <c r="F22" s="52">
        <v>116.71674282019818</v>
      </c>
      <c r="G22" s="52">
        <v>122.61278080436639</v>
      </c>
      <c r="H22" s="52">
        <v>129.58631458329768</v>
      </c>
      <c r="I22" s="52">
        <v>137.16144257179525</v>
      </c>
      <c r="J22" s="52">
        <v>144.99180794375488</v>
      </c>
      <c r="K22" s="52">
        <v>153.38706011616259</v>
      </c>
      <c r="L22" s="52">
        <v>162.21966484145995</v>
      </c>
      <c r="M22" s="52">
        <v>171.58165377107366</v>
      </c>
    </row>
    <row r="23" spans="1:13">
      <c r="A23" s="51" t="s">
        <v>307</v>
      </c>
      <c r="B23" s="52">
        <v>367.24183518655002</v>
      </c>
      <c r="C23" s="52">
        <v>385.09936544899989</v>
      </c>
      <c r="D23" s="52">
        <v>411.22209045742807</v>
      </c>
      <c r="E23" s="52">
        <v>441.93476187701998</v>
      </c>
      <c r="F23" s="52">
        <v>469.20959348010962</v>
      </c>
      <c r="G23" s="52">
        <v>503.15309541764407</v>
      </c>
      <c r="H23" s="52">
        <v>531.39774019732931</v>
      </c>
      <c r="I23" s="52">
        <v>559.58274514075606</v>
      </c>
      <c r="J23" s="52">
        <v>587.49102416490132</v>
      </c>
      <c r="K23" s="52">
        <v>615.41999314692248</v>
      </c>
      <c r="L23" s="52">
        <v>643.57531838755619</v>
      </c>
      <c r="M23" s="52">
        <v>672.03854278651545</v>
      </c>
    </row>
    <row r="24" spans="1:13">
      <c r="A24" s="51" t="s">
        <v>308</v>
      </c>
      <c r="B24" s="52">
        <v>103.82386259623</v>
      </c>
      <c r="C24" s="52">
        <v>107.435763373</v>
      </c>
      <c r="D24" s="52">
        <v>117.7902142541034</v>
      </c>
      <c r="E24" s="52">
        <v>127.75769405524908</v>
      </c>
      <c r="F24" s="52">
        <v>137.36741014708147</v>
      </c>
      <c r="G24" s="52">
        <v>147.22221733312887</v>
      </c>
      <c r="H24" s="52">
        <v>155.46873841781417</v>
      </c>
      <c r="I24" s="52">
        <v>163.72416114380485</v>
      </c>
      <c r="J24" s="52">
        <v>171.93112962585951</v>
      </c>
      <c r="K24" s="52">
        <v>180.17509882342151</v>
      </c>
      <c r="L24" s="52">
        <v>188.51693780966085</v>
      </c>
      <c r="M24" s="52">
        <v>197.01289248985344</v>
      </c>
    </row>
    <row r="25" spans="1:13">
      <c r="A25" s="51" t="s">
        <v>309</v>
      </c>
      <c r="B25" s="52">
        <v>166.76025458755001</v>
      </c>
      <c r="C25" s="52">
        <v>186.08781006800001</v>
      </c>
      <c r="D25" s="52">
        <v>199.96429624336545</v>
      </c>
      <c r="E25" s="52">
        <v>213.19171905297037</v>
      </c>
      <c r="F25" s="52">
        <v>225.84600666178676</v>
      </c>
      <c r="G25" s="52">
        <v>238.88004599588996</v>
      </c>
      <c r="H25" s="52">
        <v>255.59644101426088</v>
      </c>
      <c r="I25" s="52">
        <v>269.3661005023971</v>
      </c>
      <c r="J25" s="52">
        <v>283.79312870036432</v>
      </c>
      <c r="K25" s="52">
        <v>299.05816649393415</v>
      </c>
      <c r="L25" s="52">
        <v>315.23055502452098</v>
      </c>
      <c r="M25" s="52">
        <v>332.31748512417903</v>
      </c>
    </row>
    <row r="26" spans="1:13">
      <c r="A26" s="51" t="s">
        <v>310</v>
      </c>
      <c r="B26" s="52">
        <v>0</v>
      </c>
      <c r="C26" s="52">
        <v>0</v>
      </c>
      <c r="D26" s="52">
        <v>0</v>
      </c>
      <c r="E26" s="52">
        <v>0</v>
      </c>
      <c r="F26" s="52">
        <v>0</v>
      </c>
      <c r="G26" s="52">
        <v>0</v>
      </c>
      <c r="H26" s="52">
        <v>0</v>
      </c>
      <c r="I26" s="52">
        <v>0</v>
      </c>
      <c r="J26" s="52">
        <v>0</v>
      </c>
      <c r="K26" s="52">
        <v>0</v>
      </c>
      <c r="L26" s="52">
        <v>0</v>
      </c>
      <c r="M26" s="52">
        <v>0</v>
      </c>
    </row>
    <row r="27" spans="1:13">
      <c r="A27" s="51" t="s">
        <v>311</v>
      </c>
      <c r="B27" s="52">
        <v>3.41544885884</v>
      </c>
      <c r="C27" s="52">
        <v>3.8041314570000004</v>
      </c>
      <c r="D27" s="52">
        <v>3.56106252596157</v>
      </c>
      <c r="E27" s="52">
        <v>3.7971035809578293</v>
      </c>
      <c r="F27" s="52">
        <v>4.0355929667882613</v>
      </c>
      <c r="G27" s="52">
        <v>4.2791348857756546</v>
      </c>
      <c r="H27" s="52">
        <v>4.4434942013029417</v>
      </c>
      <c r="I27" s="52">
        <v>4.6142516721723181</v>
      </c>
      <c r="J27" s="52">
        <v>4.7916054533620063</v>
      </c>
      <c r="K27" s="52">
        <v>4.975811427039595</v>
      </c>
      <c r="L27" s="52">
        <v>5.1671354346846456</v>
      </c>
      <c r="M27" s="52">
        <v>5.3658536657515237</v>
      </c>
    </row>
    <row r="28" spans="1:13">
      <c r="A28" s="51" t="s">
        <v>312</v>
      </c>
      <c r="B28" s="55">
        <v>33.745724569099998</v>
      </c>
      <c r="C28" s="55">
        <v>58.892889617999998</v>
      </c>
      <c r="D28" s="55">
        <v>58.150995031493736</v>
      </c>
      <c r="E28" s="55">
        <v>49.325862820627414</v>
      </c>
      <c r="F28" s="55">
        <v>51.860057116312284</v>
      </c>
      <c r="G28" s="55">
        <v>54.627900867868291</v>
      </c>
      <c r="H28" s="55">
        <v>59.857721427991152</v>
      </c>
      <c r="I28" s="55">
        <v>70.87571142350798</v>
      </c>
      <c r="J28" s="55">
        <v>70.929145784086899</v>
      </c>
      <c r="K28" s="55">
        <v>77.015969923583327</v>
      </c>
      <c r="L28" s="55">
        <v>87.408466712832379</v>
      </c>
      <c r="M28" s="55">
        <v>87.616886441440087</v>
      </c>
    </row>
    <row r="29" spans="1:13">
      <c r="A29" s="56" t="s">
        <v>313</v>
      </c>
      <c r="B29" s="52">
        <v>0</v>
      </c>
      <c r="C29" s="52">
        <v>-1.2669472109999998E-2</v>
      </c>
      <c r="D29" s="52">
        <v>-1.022951098E-2</v>
      </c>
      <c r="E29" s="52">
        <v>-1.022951098E-2</v>
      </c>
      <c r="F29" s="52">
        <v>-1.022951098E-2</v>
      </c>
      <c r="G29" s="52">
        <v>-1.022951098E-2</v>
      </c>
      <c r="H29" s="52">
        <v>-1.0815539983591185E-2</v>
      </c>
      <c r="I29" s="52">
        <v>-2.2268506633608236E-2</v>
      </c>
      <c r="J29" s="52">
        <v>-1.1462389493314885E-2</v>
      </c>
      <c r="K29" s="52">
        <v>-1.2129656592027891E-2</v>
      </c>
      <c r="L29" s="52">
        <v>-2.502918092648982E-2</v>
      </c>
      <c r="M29" s="52">
        <v>-1.2901411313711324E-2</v>
      </c>
    </row>
    <row r="30" spans="1:13">
      <c r="A30" s="56" t="s">
        <v>314</v>
      </c>
      <c r="B30" s="52">
        <v>641.15547902840001</v>
      </c>
      <c r="C30" s="52">
        <v>709.16486545500004</v>
      </c>
      <c r="D30" s="52">
        <v>774.55273107140636</v>
      </c>
      <c r="E30" s="52">
        <v>834.96476905371128</v>
      </c>
      <c r="F30" s="52">
        <v>897.90729026682004</v>
      </c>
      <c r="G30" s="52">
        <v>956.20821612894702</v>
      </c>
      <c r="H30" s="52">
        <v>1018.8112190403831</v>
      </c>
      <c r="I30" s="52">
        <v>1086.7449520761477</v>
      </c>
      <c r="J30" s="52">
        <v>1157.831930147275</v>
      </c>
      <c r="K30" s="52">
        <v>1233.4715144436234</v>
      </c>
      <c r="L30" s="52">
        <v>1313.2437738173007</v>
      </c>
      <c r="M30" s="52">
        <v>1399.45072376231</v>
      </c>
    </row>
    <row r="31" spans="1:13">
      <c r="A31" s="56" t="s">
        <v>315</v>
      </c>
      <c r="B31" s="52">
        <v>348.26572268372001</v>
      </c>
      <c r="C31" s="52">
        <v>315.04170488951763</v>
      </c>
      <c r="D31" s="52">
        <v>305.78663888532998</v>
      </c>
      <c r="E31" s="52">
        <v>333.6091937033911</v>
      </c>
      <c r="F31" s="52">
        <v>349.98863065432954</v>
      </c>
      <c r="G31" s="52">
        <v>370.22214210627317</v>
      </c>
      <c r="H31" s="52">
        <v>394.79967498672266</v>
      </c>
      <c r="I31" s="52">
        <v>385.4813675057909</v>
      </c>
      <c r="J31" s="52">
        <v>393.29403357985831</v>
      </c>
      <c r="K31" s="52">
        <v>389.7099540311138</v>
      </c>
      <c r="L31" s="52">
        <v>383.02350220058031</v>
      </c>
      <c r="M31" s="52">
        <v>400.20319985223517</v>
      </c>
    </row>
    <row r="32" spans="1:13">
      <c r="A32" s="51" t="s">
        <v>316</v>
      </c>
      <c r="B32" s="52">
        <v>16.470007017390003</v>
      </c>
      <c r="C32" s="52">
        <v>6.6429144744025326</v>
      </c>
      <c r="D32" s="52">
        <v>6.8768255774017106</v>
      </c>
      <c r="E32" s="52">
        <v>7.8693654902550083</v>
      </c>
      <c r="F32" s="52">
        <v>8.2220584501387162</v>
      </c>
      <c r="G32" s="52">
        <v>8.4986070287685731</v>
      </c>
      <c r="H32" s="52">
        <v>8.7627135423224036</v>
      </c>
      <c r="I32" s="52">
        <v>9.0359436686658103</v>
      </c>
      <c r="J32" s="52">
        <v>9.3179188883612891</v>
      </c>
      <c r="K32" s="52">
        <v>9.6089305864419305</v>
      </c>
      <c r="L32" s="52">
        <v>9.909280426855517</v>
      </c>
      <c r="M32" s="52">
        <v>10.219280742235368</v>
      </c>
    </row>
    <row r="33" spans="1:13">
      <c r="A33" s="51" t="s">
        <v>317</v>
      </c>
      <c r="B33" s="52">
        <v>72.381421767109998</v>
      </c>
      <c r="C33" s="52">
        <v>43.402014245115076</v>
      </c>
      <c r="D33" s="52">
        <v>36.970648212091866</v>
      </c>
      <c r="E33" s="52">
        <v>36.513205759508651</v>
      </c>
      <c r="F33" s="52">
        <v>36.251012598937535</v>
      </c>
      <c r="G33" s="52">
        <v>39.008231478375976</v>
      </c>
      <c r="H33" s="52">
        <v>40.464453463547585</v>
      </c>
      <c r="I33" s="52">
        <v>32.428436767176962</v>
      </c>
      <c r="J33" s="52">
        <v>43.688284406067794</v>
      </c>
      <c r="K33" s="52">
        <v>45.402905838656125</v>
      </c>
      <c r="L33" s="52">
        <v>36.448265499665368</v>
      </c>
      <c r="M33" s="52">
        <v>49.14400252188419</v>
      </c>
    </row>
    <row r="34" spans="1:13">
      <c r="A34" s="51" t="s">
        <v>318</v>
      </c>
      <c r="B34" s="52">
        <v>18.60049087166</v>
      </c>
      <c r="C34" s="52">
        <v>18.387526311000002</v>
      </c>
      <c r="D34" s="52">
        <v>18.518437910780051</v>
      </c>
      <c r="E34" s="52">
        <v>19.359799913159467</v>
      </c>
      <c r="F34" s="52">
        <v>19.873016797945485</v>
      </c>
      <c r="G34" s="52">
        <v>20.357231240755333</v>
      </c>
      <c r="H34" s="52">
        <v>20.509365266795999</v>
      </c>
      <c r="I34" s="52">
        <v>20.650896420003885</v>
      </c>
      <c r="J34" s="52">
        <v>20.780984129279524</v>
      </c>
      <c r="K34" s="52">
        <v>20.898743782270493</v>
      </c>
      <c r="L34" s="52">
        <v>21.003244695150396</v>
      </c>
      <c r="M34" s="52">
        <v>21.093507993709633</v>
      </c>
    </row>
    <row r="35" spans="1:13">
      <c r="A35" s="51" t="s">
        <v>319</v>
      </c>
      <c r="B35" s="52">
        <v>118.76168212732</v>
      </c>
      <c r="C35" s="52">
        <v>122.294783986</v>
      </c>
      <c r="D35" s="52">
        <v>126.68684571652189</v>
      </c>
      <c r="E35" s="52">
        <v>147.54365355508071</v>
      </c>
      <c r="F35" s="52">
        <v>157.78826748187913</v>
      </c>
      <c r="G35" s="52">
        <v>170.3472923806444</v>
      </c>
      <c r="H35" s="52">
        <v>187.14587346943361</v>
      </c>
      <c r="I35" s="52">
        <v>181.07527206204151</v>
      </c>
      <c r="J35" s="52">
        <v>170.18357909402394</v>
      </c>
      <c r="K35" s="52">
        <v>157.52149354080947</v>
      </c>
      <c r="L35" s="52">
        <v>154.18763910642568</v>
      </c>
      <c r="M35" s="52">
        <v>150.08562064119283</v>
      </c>
    </row>
    <row r="36" spans="1:13">
      <c r="A36" s="51" t="s">
        <v>320</v>
      </c>
      <c r="B36" s="52">
        <v>23.500977830970001</v>
      </c>
      <c r="C36" s="52">
        <v>21.779174277999999</v>
      </c>
      <c r="D36" s="52">
        <v>19.982652174999995</v>
      </c>
      <c r="E36" s="52">
        <v>21.376549864000001</v>
      </c>
      <c r="F36" s="52">
        <v>22.740310404999999</v>
      </c>
      <c r="G36" s="52">
        <v>23.660504051999997</v>
      </c>
      <c r="H36" s="52">
        <v>23.892284606837077</v>
      </c>
      <c r="I36" s="52">
        <v>24.31043037007105</v>
      </c>
      <c r="J36" s="52">
        <v>25.099866914662254</v>
      </c>
      <c r="K36" s="52">
        <v>25.347253802957663</v>
      </c>
      <c r="L36" s="52">
        <v>25.790863401693567</v>
      </c>
      <c r="M36" s="52">
        <v>26.628374288005258</v>
      </c>
    </row>
    <row r="37" spans="1:13">
      <c r="A37" s="51" t="s">
        <v>321</v>
      </c>
      <c r="B37" s="52">
        <v>33.078177306969998</v>
      </c>
      <c r="C37" s="52">
        <v>36.812136439</v>
      </c>
      <c r="D37" s="52">
        <v>40.367856249534491</v>
      </c>
      <c r="E37" s="52">
        <v>43.624465426397471</v>
      </c>
      <c r="F37" s="52">
        <v>47.034011012048758</v>
      </c>
      <c r="G37" s="52">
        <v>50.588293769439261</v>
      </c>
      <c r="H37" s="52">
        <v>54.364470243027512</v>
      </c>
      <c r="I37" s="52">
        <v>58.540531745551945</v>
      </c>
      <c r="J37" s="52">
        <v>62.921494762680965</v>
      </c>
      <c r="K37" s="52">
        <v>67.610017474300619</v>
      </c>
      <c r="L37" s="52">
        <v>72.596887046262651</v>
      </c>
      <c r="M37" s="52">
        <v>77.968816874732141</v>
      </c>
    </row>
    <row r="38" spans="1:13">
      <c r="A38" s="51" t="s">
        <v>322</v>
      </c>
      <c r="B38" s="52">
        <v>9.4069197000000007E-2</v>
      </c>
      <c r="C38" s="52">
        <v>4.8756356999999993E-2</v>
      </c>
      <c r="D38" s="52">
        <v>6.0630128999999998E-2</v>
      </c>
      <c r="E38" s="52">
        <v>5.8723624999999995E-2</v>
      </c>
      <c r="F38" s="52">
        <v>5.6494302999999996E-2</v>
      </c>
      <c r="G38" s="52">
        <v>5.4001773999999995E-2</v>
      </c>
      <c r="H38" s="52">
        <v>5.7028845720241902E-2</v>
      </c>
      <c r="I38" s="52">
        <v>6.3636566074312589E-2</v>
      </c>
      <c r="J38" s="52">
        <v>5.728725466521014E-2</v>
      </c>
      <c r="K38" s="52">
        <v>6.0501733105382142E-2</v>
      </c>
      <c r="L38" s="52">
        <v>6.751184401062689E-2</v>
      </c>
      <c r="M38" s="52">
        <v>6.0775878387880213E-2</v>
      </c>
    </row>
    <row r="39" spans="1:13">
      <c r="A39" s="51" t="s">
        <v>323</v>
      </c>
      <c r="B39" s="52">
        <v>65.37889656530001</v>
      </c>
      <c r="C39" s="52">
        <v>65.674398799000002</v>
      </c>
      <c r="D39" s="52">
        <v>56.322742915000006</v>
      </c>
      <c r="E39" s="52">
        <v>57.263430069989816</v>
      </c>
      <c r="F39" s="52">
        <v>58.023459605379934</v>
      </c>
      <c r="G39" s="52">
        <v>57.707980382289605</v>
      </c>
      <c r="H39" s="52">
        <v>59.603485549038226</v>
      </c>
      <c r="I39" s="52">
        <v>59.376219906205499</v>
      </c>
      <c r="J39" s="52">
        <v>61.244618130117317</v>
      </c>
      <c r="K39" s="52">
        <v>63.260107272572149</v>
      </c>
      <c r="L39" s="52">
        <v>63.019810180516473</v>
      </c>
      <c r="M39" s="52">
        <v>65.002820912087856</v>
      </c>
    </row>
    <row r="40" spans="1:13" ht="18.75" thickBot="1">
      <c r="A40" s="56" t="s">
        <v>324</v>
      </c>
      <c r="B40" s="52">
        <v>0</v>
      </c>
      <c r="C40" s="52">
        <v>27.521014725918199</v>
      </c>
      <c r="D40" s="52">
        <v>72.670029019585542</v>
      </c>
      <c r="E40" s="52">
        <v>87.911719385204336</v>
      </c>
      <c r="F40" s="52">
        <v>159.57988073212411</v>
      </c>
      <c r="G40" s="52">
        <v>207.54962308594071</v>
      </c>
      <c r="H40" s="52">
        <v>216.07522651463583</v>
      </c>
      <c r="I40" s="52">
        <v>248.21344005755336</v>
      </c>
      <c r="J40" s="52">
        <v>292.24824239952665</v>
      </c>
      <c r="K40" s="52">
        <v>231.78017726395368</v>
      </c>
      <c r="L40" s="52">
        <v>191.75238095408801</v>
      </c>
      <c r="M40" s="52">
        <v>121.73092725822306</v>
      </c>
    </row>
    <row r="41" spans="1:13" ht="27.75" customHeight="1" thickBot="1">
      <c r="A41" s="47" t="s">
        <v>325</v>
      </c>
      <c r="B41" s="48">
        <v>517.6540042351395</v>
      </c>
      <c r="C41" s="48">
        <v>580.59897153020654</v>
      </c>
      <c r="D41" s="48">
        <v>623.3112067232878</v>
      </c>
      <c r="E41" s="48">
        <v>649.66635828520498</v>
      </c>
      <c r="F41" s="48">
        <v>675.21163251030828</v>
      </c>
      <c r="G41" s="48">
        <v>712.63693531111414</v>
      </c>
      <c r="H41" s="48">
        <v>757.97887487995342</v>
      </c>
      <c r="I41" s="48">
        <v>816.33839353818439</v>
      </c>
      <c r="J41" s="48">
        <v>863.79299872126967</v>
      </c>
      <c r="K41" s="48">
        <v>915.58540628801086</v>
      </c>
      <c r="L41" s="48">
        <v>970.83239517614072</v>
      </c>
      <c r="M41" s="48">
        <v>1028.7634345459649</v>
      </c>
    </row>
    <row r="42" spans="1:13">
      <c r="A42" s="49" t="s">
        <v>326</v>
      </c>
      <c r="B42" s="50">
        <v>411.97991660037997</v>
      </c>
      <c r="C42" s="50">
        <v>460.89036630947226</v>
      </c>
      <c r="D42" s="50">
        <v>502.48067425748195</v>
      </c>
      <c r="E42" s="50">
        <v>528.2203005572328</v>
      </c>
      <c r="F42" s="50">
        <v>552.110823651038</v>
      </c>
      <c r="G42" s="50">
        <v>585.07860064996328</v>
      </c>
      <c r="H42" s="50">
        <v>629.95163606874678</v>
      </c>
      <c r="I42" s="50">
        <v>685.70986687956588</v>
      </c>
      <c r="J42" s="50">
        <v>732.64194121279286</v>
      </c>
      <c r="K42" s="50">
        <v>783.77542742967171</v>
      </c>
      <c r="L42" s="50">
        <v>835.46395366962815</v>
      </c>
      <c r="M42" s="50">
        <v>890.41635981145214</v>
      </c>
    </row>
    <row r="43" spans="1:13">
      <c r="A43" s="56" t="s">
        <v>327</v>
      </c>
      <c r="B43" s="52">
        <v>12.94454589020949</v>
      </c>
      <c r="C43" s="52">
        <v>18.551079752450001</v>
      </c>
      <c r="D43" s="52">
        <v>15.770501695815726</v>
      </c>
      <c r="E43" s="52">
        <v>14.700777378617152</v>
      </c>
      <c r="F43" s="52">
        <v>14.082812647173338</v>
      </c>
      <c r="G43" s="52">
        <v>14.128720812006168</v>
      </c>
      <c r="H43" s="52">
        <v>15.127258371202444</v>
      </c>
      <c r="I43" s="52">
        <v>16.45129869278432</v>
      </c>
      <c r="J43" s="52">
        <v>17.896762207262302</v>
      </c>
      <c r="K43" s="52">
        <v>19.465780270340431</v>
      </c>
      <c r="L43" s="52">
        <v>21.17181615784483</v>
      </c>
      <c r="M43" s="52">
        <v>22.954193086505544</v>
      </c>
    </row>
    <row r="44" spans="1:13">
      <c r="A44" s="54" t="s">
        <v>328</v>
      </c>
      <c r="B44" s="52">
        <v>25.841654336769999</v>
      </c>
      <c r="C44" s="52">
        <v>28.787500952280002</v>
      </c>
      <c r="D44" s="52">
        <v>31.435317507292471</v>
      </c>
      <c r="E44" s="52">
        <v>33.045637859860321</v>
      </c>
      <c r="F44" s="52">
        <v>34.54263896519258</v>
      </c>
      <c r="G44" s="52">
        <v>36.618247818392881</v>
      </c>
      <c r="H44" s="52">
        <v>39.436972825491409</v>
      </c>
      <c r="I44" s="52">
        <v>42.947266553765097</v>
      </c>
      <c r="J44" s="52">
        <v>45.890179869042782</v>
      </c>
      <c r="K44" s="52">
        <v>49.096941239290352</v>
      </c>
      <c r="L44" s="52">
        <v>52.33428102697804</v>
      </c>
      <c r="M44" s="52">
        <v>55.775392988988898</v>
      </c>
    </row>
    <row r="45" spans="1:13">
      <c r="A45" s="54" t="s">
        <v>329</v>
      </c>
      <c r="B45" s="52">
        <v>-12.897108446560509</v>
      </c>
      <c r="C45" s="52">
        <v>-10.236421199830001</v>
      </c>
      <c r="D45" s="52">
        <v>-15.664815811476748</v>
      </c>
      <c r="E45" s="52">
        <v>-18.344860481243163</v>
      </c>
      <c r="F45" s="52">
        <v>-20.459826318019235</v>
      </c>
      <c r="G45" s="52">
        <v>-22.489527006386716</v>
      </c>
      <c r="H45" s="52">
        <v>-24.309714454288972</v>
      </c>
      <c r="I45" s="52">
        <v>-26.495967860980773</v>
      </c>
      <c r="J45" s="52">
        <v>-27.993417661780477</v>
      </c>
      <c r="K45" s="52">
        <v>-29.631160968949931</v>
      </c>
      <c r="L45" s="52">
        <v>-31.16246486913321</v>
      </c>
      <c r="M45" s="52">
        <v>-32.82119990248335</v>
      </c>
    </row>
    <row r="46" spans="1:13">
      <c r="A46" s="56" t="s">
        <v>330</v>
      </c>
      <c r="B46" s="52">
        <v>19.571996350920003</v>
      </c>
      <c r="C46" s="52">
        <v>22.769513740570002</v>
      </c>
      <c r="D46" s="52">
        <v>24.604800118395353</v>
      </c>
      <c r="E46" s="52">
        <v>26.263611222354506</v>
      </c>
      <c r="F46" s="52">
        <v>28.012654807498766</v>
      </c>
      <c r="G46" s="52">
        <v>29.847093323969158</v>
      </c>
      <c r="H46" s="52">
        <v>32.075037443386229</v>
      </c>
      <c r="I46" s="52">
        <v>34.538913729875645</v>
      </c>
      <c r="J46" s="52">
        <v>37.123681909981762</v>
      </c>
      <c r="K46" s="52">
        <v>39.889910309837362</v>
      </c>
      <c r="L46" s="52">
        <v>42.832163357294966</v>
      </c>
      <c r="M46" s="52">
        <v>46.00160195609196</v>
      </c>
    </row>
    <row r="47" spans="1:13">
      <c r="A47" s="56" t="s">
        <v>331</v>
      </c>
      <c r="B47" s="52">
        <v>68.827649660449993</v>
      </c>
      <c r="C47" s="52">
        <v>72.914906445332846</v>
      </c>
      <c r="D47" s="52">
        <v>74.953807736151447</v>
      </c>
      <c r="E47" s="52">
        <v>74.895298837129403</v>
      </c>
      <c r="F47" s="52">
        <v>75.348499717478319</v>
      </c>
      <c r="G47" s="52">
        <v>77.86111386256583</v>
      </c>
      <c r="H47" s="52">
        <v>79.672124174261043</v>
      </c>
      <c r="I47" s="52">
        <v>78.443308323485326</v>
      </c>
      <c r="J47" s="52">
        <v>74.891855648785153</v>
      </c>
      <c r="K47" s="52">
        <v>71.170155251461551</v>
      </c>
      <c r="L47" s="52">
        <v>70.033269286880341</v>
      </c>
      <c r="M47" s="52">
        <v>68.011279666997027</v>
      </c>
    </row>
    <row r="48" spans="1:13">
      <c r="A48" s="56" t="s">
        <v>332</v>
      </c>
      <c r="B48" s="52">
        <v>0.97920462685999998</v>
      </c>
      <c r="C48" s="52">
        <v>1.0268482763660802</v>
      </c>
      <c r="D48" s="52">
        <v>0.91385288571650891</v>
      </c>
      <c r="E48" s="52">
        <v>0.89811682223197942</v>
      </c>
      <c r="F48" s="52">
        <v>0.88287776990678701</v>
      </c>
      <c r="G48" s="52">
        <v>0.86866438181245775</v>
      </c>
      <c r="H48" s="52">
        <v>0.90202932286449711</v>
      </c>
      <c r="I48" s="52">
        <v>0.93669308945098029</v>
      </c>
      <c r="J48" s="52">
        <v>0.97269590703248709</v>
      </c>
      <c r="K48" s="52">
        <v>1.0100897196890377</v>
      </c>
      <c r="L48" s="52">
        <v>1.0489284932409833</v>
      </c>
      <c r="M48" s="52">
        <v>1.0892682941475593</v>
      </c>
    </row>
    <row r="49" spans="1:13" ht="16.5" thickBot="1">
      <c r="A49" s="56" t="s">
        <v>333</v>
      </c>
      <c r="B49" s="52">
        <v>3.3506911063200002</v>
      </c>
      <c r="C49" s="52">
        <v>4.4462570060153146</v>
      </c>
      <c r="D49" s="52">
        <v>4.5875700297268445</v>
      </c>
      <c r="E49" s="52">
        <v>4.6882534676390826</v>
      </c>
      <c r="F49" s="52">
        <v>4.7739639172132122</v>
      </c>
      <c r="G49" s="52">
        <v>4.8527422807974077</v>
      </c>
      <c r="H49" s="52">
        <v>0.2507894994924168</v>
      </c>
      <c r="I49" s="52">
        <v>0.25831282302228947</v>
      </c>
      <c r="J49" s="52">
        <v>0.26606183541493239</v>
      </c>
      <c r="K49" s="52">
        <v>0.27404330701095042</v>
      </c>
      <c r="L49" s="52">
        <v>0.28226421125140883</v>
      </c>
      <c r="M49" s="52">
        <v>0.29073173077055414</v>
      </c>
    </row>
    <row r="50" spans="1:13" ht="27.75" customHeight="1" thickBot="1">
      <c r="A50" s="47" t="s">
        <v>334</v>
      </c>
      <c r="B50" s="48">
        <v>2161.7876020303706</v>
      </c>
      <c r="C50" s="48">
        <v>2349.3554822942615</v>
      </c>
      <c r="D50" s="48">
        <v>2574.9709561096429</v>
      </c>
      <c r="E50" s="48">
        <v>2769.9275482558796</v>
      </c>
      <c r="F50" s="48">
        <v>3005.2977589093289</v>
      </c>
      <c r="G50" s="48">
        <v>3239.5999661136034</v>
      </c>
      <c r="H50" s="48">
        <v>3461.7284157158474</v>
      </c>
      <c r="I50" s="48">
        <v>3694.5996415717104</v>
      </c>
      <c r="J50" s="48">
        <v>3943.5340410794624</v>
      </c>
      <c r="K50" s="48">
        <v>4095.3003988399823</v>
      </c>
      <c r="L50" s="48">
        <v>4274.6876306053273</v>
      </c>
      <c r="M50" s="48">
        <v>4452.8230964636205</v>
      </c>
    </row>
    <row r="51" spans="1:13" ht="27.75" customHeight="1" thickBot="1">
      <c r="A51" s="47" t="s">
        <v>335</v>
      </c>
      <c r="B51" s="48">
        <v>2205.3048485706104</v>
      </c>
      <c r="C51" s="48">
        <v>2394.6785503478163</v>
      </c>
      <c r="D51" s="48">
        <v>2601.4422224874206</v>
      </c>
      <c r="E51" s="48">
        <v>2696.219249878176</v>
      </c>
      <c r="F51" s="48">
        <v>2847.175416829215</v>
      </c>
      <c r="G51" s="48">
        <v>3027.5500076736375</v>
      </c>
      <c r="H51" s="48">
        <v>3234.6320389521143</v>
      </c>
      <c r="I51" s="48">
        <v>3451.6433128947542</v>
      </c>
      <c r="J51" s="48">
        <v>3683.7449430025258</v>
      </c>
      <c r="K51" s="48">
        <v>3817.539806766727</v>
      </c>
      <c r="L51" s="48">
        <v>3977.6409849143874</v>
      </c>
      <c r="M51" s="48">
        <v>4135.3255463502901</v>
      </c>
    </row>
    <row r="52" spans="1:13">
      <c r="A52" s="49" t="s">
        <v>336</v>
      </c>
      <c r="B52" s="50">
        <v>938.30202958282007</v>
      </c>
      <c r="C52" s="50">
        <v>1032.0405138134499</v>
      </c>
      <c r="D52" s="50">
        <v>1116.763380004239</v>
      </c>
      <c r="E52" s="50">
        <v>1184.7996891744524</v>
      </c>
      <c r="F52" s="50">
        <v>1258.3579357400622</v>
      </c>
      <c r="G52" s="50">
        <v>1337.8897923680361</v>
      </c>
      <c r="H52" s="50">
        <v>1425.7618207649539</v>
      </c>
      <c r="I52" s="50">
        <v>1519.0331905392648</v>
      </c>
      <c r="J52" s="50">
        <v>1620.8220887936782</v>
      </c>
      <c r="K52" s="50">
        <v>1729.9002937969319</v>
      </c>
      <c r="L52" s="50">
        <v>1848.284823951408</v>
      </c>
      <c r="M52" s="50">
        <v>1974.4938275820653</v>
      </c>
    </row>
    <row r="53" spans="1:13">
      <c r="A53" s="56" t="s">
        <v>337</v>
      </c>
      <c r="B53" s="52">
        <v>366.28202764708004</v>
      </c>
      <c r="C53" s="52">
        <v>411.64962313880335</v>
      </c>
      <c r="D53" s="52">
        <v>437.14963906679998</v>
      </c>
      <c r="E53" s="52">
        <v>458.85937849628164</v>
      </c>
      <c r="F53" s="52">
        <v>475.52331545330247</v>
      </c>
      <c r="G53" s="52">
        <v>492.37073041388203</v>
      </c>
      <c r="H53" s="52">
        <v>510.0348458600788</v>
      </c>
      <c r="I53" s="52">
        <v>528.2037067499125</v>
      </c>
      <c r="J53" s="52">
        <v>546.9369423441392</v>
      </c>
      <c r="K53" s="52">
        <v>566.37973206110428</v>
      </c>
      <c r="L53" s="52">
        <v>585.71924171496175</v>
      </c>
      <c r="M53" s="52">
        <v>605.06141074741356</v>
      </c>
    </row>
    <row r="54" spans="1:13">
      <c r="A54" s="56" t="s">
        <v>338</v>
      </c>
      <c r="B54" s="52">
        <v>358.14326768113762</v>
      </c>
      <c r="C54" s="52">
        <v>397.84467438840693</v>
      </c>
      <c r="D54" s="52">
        <v>433.60228782308076</v>
      </c>
      <c r="E54" s="52">
        <v>454.20791479276011</v>
      </c>
      <c r="F54" s="52">
        <v>480.37450025401006</v>
      </c>
      <c r="G54" s="52">
        <v>529.00338261083448</v>
      </c>
      <c r="H54" s="52">
        <v>609.81122771380296</v>
      </c>
      <c r="I54" s="52">
        <v>679.37695334746672</v>
      </c>
      <c r="J54" s="52">
        <v>771.44158683441185</v>
      </c>
      <c r="K54" s="52">
        <v>744.15279724400682</v>
      </c>
      <c r="L54" s="52">
        <v>775.94753070508864</v>
      </c>
      <c r="M54" s="52">
        <v>818.32108941781723</v>
      </c>
    </row>
    <row r="55" spans="1:13">
      <c r="A55" s="51" t="s">
        <v>339</v>
      </c>
      <c r="B55" s="52">
        <v>111.08436591951001</v>
      </c>
      <c r="C55" s="52">
        <v>121.82404442693</v>
      </c>
      <c r="D55" s="52">
        <v>135.42363819593325</v>
      </c>
      <c r="E55" s="52">
        <v>148.07964232889066</v>
      </c>
      <c r="F55" s="52">
        <v>161.31037835704626</v>
      </c>
      <c r="G55" s="52">
        <v>175.52070297794447</v>
      </c>
      <c r="H55" s="52">
        <v>190.79591076389886</v>
      </c>
      <c r="I55" s="52">
        <v>207.41103014257737</v>
      </c>
      <c r="J55" s="52">
        <v>225.43507922181391</v>
      </c>
      <c r="K55" s="52">
        <v>245.0128256119838</v>
      </c>
      <c r="L55" s="52">
        <v>266.28181190901324</v>
      </c>
      <c r="M55" s="52">
        <v>289.38628161860669</v>
      </c>
    </row>
    <row r="56" spans="1:13">
      <c r="A56" s="51" t="s">
        <v>340</v>
      </c>
      <c r="B56" s="52">
        <v>80.71242804160002</v>
      </c>
      <c r="C56" s="52">
        <v>88.644449112999993</v>
      </c>
      <c r="D56" s="52">
        <v>97.77524715180347</v>
      </c>
      <c r="E56" s="52">
        <v>104.05245938056143</v>
      </c>
      <c r="F56" s="52">
        <v>110.55544579521988</v>
      </c>
      <c r="G56" s="52">
        <v>117.49574568110228</v>
      </c>
      <c r="H56" s="52">
        <v>123.46966672577015</v>
      </c>
      <c r="I56" s="52">
        <v>128.25169254168318</v>
      </c>
      <c r="J56" s="52">
        <v>135.11133688858499</v>
      </c>
      <c r="K56" s="52">
        <v>141.98838187901603</v>
      </c>
      <c r="L56" s="52">
        <v>149.2279290819657</v>
      </c>
      <c r="M56" s="52">
        <v>156.46267280365495</v>
      </c>
    </row>
    <row r="57" spans="1:13">
      <c r="A57" s="51" t="s">
        <v>341</v>
      </c>
      <c r="B57" s="52">
        <v>47.544195025960001</v>
      </c>
      <c r="C57" s="52">
        <v>59.118117902839991</v>
      </c>
      <c r="D57" s="52">
        <v>69.705489943010207</v>
      </c>
      <c r="E57" s="52">
        <v>74.33163177075356</v>
      </c>
      <c r="F57" s="52">
        <v>78.619963585444026</v>
      </c>
      <c r="G57" s="52">
        <v>83.446993684315629</v>
      </c>
      <c r="H57" s="52">
        <v>88.671904944425322</v>
      </c>
      <c r="I57" s="52">
        <v>94.470213678027008</v>
      </c>
      <c r="J57" s="52">
        <v>99.936405339140819</v>
      </c>
      <c r="K57" s="52">
        <v>105.70163018932951</v>
      </c>
      <c r="L57" s="52">
        <v>111.61918119331277</v>
      </c>
      <c r="M57" s="52">
        <v>117.82287448970712</v>
      </c>
    </row>
    <row r="58" spans="1:13">
      <c r="A58" s="51" t="s">
        <v>342</v>
      </c>
      <c r="B58" s="52">
        <v>34.696817196250002</v>
      </c>
      <c r="C58" s="52">
        <v>48.45352347506001</v>
      </c>
      <c r="D58" s="52">
        <v>47.6166467401113</v>
      </c>
      <c r="E58" s="52">
        <v>47.216356312509333</v>
      </c>
      <c r="F58" s="52">
        <v>46.640282039510041</v>
      </c>
      <c r="G58" s="52">
        <v>47.291038913793464</v>
      </c>
      <c r="H58" s="52">
        <v>51.58082079495918</v>
      </c>
      <c r="I58" s="52">
        <v>56.262854276023667</v>
      </c>
      <c r="J58" s="52">
        <v>61.373101142129507</v>
      </c>
      <c r="K58" s="52">
        <v>66.950823026047658</v>
      </c>
      <c r="L58" s="52">
        <v>73.023948805115751</v>
      </c>
      <c r="M58" s="52">
        <v>79.6479693314229</v>
      </c>
    </row>
    <row r="59" spans="1:13">
      <c r="A59" s="51" t="s">
        <v>343</v>
      </c>
      <c r="B59" s="52">
        <v>17.849118893700002</v>
      </c>
      <c r="C59" s="52">
        <v>31.8843314149</v>
      </c>
      <c r="D59" s="52">
        <v>31.371858806013766</v>
      </c>
      <c r="E59" s="52">
        <v>31.413796891626315</v>
      </c>
      <c r="F59" s="52">
        <v>30.00641143971869</v>
      </c>
      <c r="G59" s="52">
        <v>30.920709368947286</v>
      </c>
      <c r="H59" s="52">
        <v>31.938398976119014</v>
      </c>
      <c r="I59" s="52">
        <v>32.853487566623514</v>
      </c>
      <c r="J59" s="52">
        <v>33.725752751316811</v>
      </c>
      <c r="K59" s="52">
        <v>34.489157248523924</v>
      </c>
      <c r="L59" s="52">
        <v>35.166246917757768</v>
      </c>
      <c r="M59" s="52">
        <v>34.920045117378443</v>
      </c>
    </row>
    <row r="60" spans="1:13">
      <c r="A60" s="51" t="s">
        <v>344</v>
      </c>
      <c r="B60" s="52">
        <v>66.256342604117606</v>
      </c>
      <c r="C60" s="52">
        <v>47.920208055676937</v>
      </c>
      <c r="D60" s="52">
        <v>51.709406986208705</v>
      </c>
      <c r="E60" s="52">
        <v>49.114028108418836</v>
      </c>
      <c r="F60" s="52">
        <v>53.242019037071088</v>
      </c>
      <c r="G60" s="52">
        <v>47.266138962495859</v>
      </c>
      <c r="H60" s="52">
        <v>60.514255655453439</v>
      </c>
      <c r="I60" s="52">
        <v>57.454893826954276</v>
      </c>
      <c r="J60" s="52">
        <v>68.958865135259316</v>
      </c>
      <c r="K60" s="52">
        <v>65.935969747940703</v>
      </c>
      <c r="L60" s="52">
        <v>79.876861398329879</v>
      </c>
      <c r="M60" s="52">
        <v>74.527520894627514</v>
      </c>
    </row>
    <row r="61" spans="1:13">
      <c r="A61" s="56" t="s">
        <v>345</v>
      </c>
      <c r="B61" s="52">
        <v>357.18515367613583</v>
      </c>
      <c r="C61" s="52">
        <v>363.27750682400006</v>
      </c>
      <c r="D61" s="52">
        <v>387.30046219081856</v>
      </c>
      <c r="E61" s="52">
        <v>399.97484593852982</v>
      </c>
      <c r="F61" s="52">
        <v>421.48698239100025</v>
      </c>
      <c r="G61" s="52">
        <v>438.17573257831589</v>
      </c>
      <c r="H61" s="52">
        <v>459.58452712808463</v>
      </c>
      <c r="I61" s="52">
        <v>476.93128681747464</v>
      </c>
      <c r="J61" s="52">
        <v>500.60984184550443</v>
      </c>
      <c r="K61" s="52">
        <v>508.53427947900997</v>
      </c>
      <c r="L61" s="52">
        <v>524.38399059574863</v>
      </c>
      <c r="M61" s="52">
        <v>535.10907079754304</v>
      </c>
    </row>
    <row r="62" spans="1:13">
      <c r="A62" s="51" t="s">
        <v>346</v>
      </c>
      <c r="B62" s="52">
        <v>168.19933666741002</v>
      </c>
      <c r="C62" s="52">
        <v>159.51577759020168</v>
      </c>
      <c r="D62" s="52">
        <v>167.55119130022055</v>
      </c>
      <c r="E62" s="52">
        <v>167.58483236501851</v>
      </c>
      <c r="F62" s="52">
        <v>172.78433319477455</v>
      </c>
      <c r="G62" s="52">
        <v>172.81429943324409</v>
      </c>
      <c r="H62" s="52">
        <v>177.99847934450838</v>
      </c>
      <c r="I62" s="52">
        <v>178.0302704379306</v>
      </c>
      <c r="J62" s="52">
        <v>183.37092196172298</v>
      </c>
      <c r="K62" s="52">
        <v>183.40464903834655</v>
      </c>
      <c r="L62" s="52">
        <v>188.90652417423109</v>
      </c>
      <c r="M62" s="52">
        <v>188.94230512968505</v>
      </c>
    </row>
    <row r="63" spans="1:13" ht="16.5" thickBot="1">
      <c r="A63" s="57" t="s">
        <v>347</v>
      </c>
      <c r="B63" s="58">
        <v>185.39236998343694</v>
      </c>
      <c r="C63" s="58">
        <v>189.8662321831556</v>
      </c>
      <c r="D63" s="58">
        <v>226.62645340248255</v>
      </c>
      <c r="E63" s="58">
        <v>198.37742147615234</v>
      </c>
      <c r="F63" s="58">
        <v>211.43268299083965</v>
      </c>
      <c r="G63" s="58">
        <v>230.11036970256896</v>
      </c>
      <c r="H63" s="58">
        <v>229.43961748519402</v>
      </c>
      <c r="I63" s="58">
        <v>248.09817544063534</v>
      </c>
      <c r="J63" s="58">
        <v>243.93448318479147</v>
      </c>
      <c r="K63" s="58">
        <v>268.57270418567413</v>
      </c>
      <c r="L63" s="58">
        <v>243.30539794718067</v>
      </c>
      <c r="M63" s="58">
        <v>202.34014780545164</v>
      </c>
    </row>
    <row r="64" spans="1:13" ht="27.75" customHeight="1" thickBot="1">
      <c r="A64" s="47" t="s">
        <v>348</v>
      </c>
      <c r="B64" s="48">
        <v>-45.364333180619958</v>
      </c>
      <c r="C64" s="48">
        <v>-45.323068053315858</v>
      </c>
      <c r="D64" s="48">
        <v>-26.471266377777791</v>
      </c>
      <c r="E64" s="48">
        <v>73.708298377703414</v>
      </c>
      <c r="F64" s="48">
        <v>158.12234208011395</v>
      </c>
      <c r="G64" s="48">
        <v>212.04995843996619</v>
      </c>
      <c r="H64" s="48">
        <v>227.09637676373356</v>
      </c>
      <c r="I64" s="48">
        <v>242.95632867695576</v>
      </c>
      <c r="J64" s="48">
        <v>259.7890980769368</v>
      </c>
      <c r="K64" s="48">
        <v>277.76059207325522</v>
      </c>
      <c r="L64" s="48">
        <v>297.04664569093939</v>
      </c>
      <c r="M64" s="48">
        <v>317.49755011333059</v>
      </c>
    </row>
    <row r="65" spans="1:14" ht="27.75" customHeight="1" thickBot="1">
      <c r="A65" s="47" t="s">
        <v>349</v>
      </c>
      <c r="B65" s="48">
        <v>4.5457506939300059</v>
      </c>
      <c r="C65" s="48">
        <v>17.899999999999999</v>
      </c>
      <c r="D65" s="48">
        <v>1.1000000000000001</v>
      </c>
      <c r="E65" s="48">
        <v>1.2</v>
      </c>
      <c r="F65" s="48">
        <v>1.2</v>
      </c>
      <c r="G65" s="48">
        <v>1.3</v>
      </c>
      <c r="H65" s="48">
        <v>1.5</v>
      </c>
      <c r="I65" s="48">
        <v>1.6</v>
      </c>
      <c r="J65" s="48">
        <v>1.7</v>
      </c>
      <c r="K65" s="48">
        <v>1.8</v>
      </c>
      <c r="L65" s="48">
        <v>2</v>
      </c>
      <c r="M65" s="48">
        <v>2.1</v>
      </c>
    </row>
    <row r="66" spans="1:14" ht="27.75" customHeight="1" thickBot="1">
      <c r="A66" s="47" t="s">
        <v>350</v>
      </c>
      <c r="B66" s="48">
        <v>-6.7342813542699993</v>
      </c>
      <c r="C66" s="48">
        <v>-5.7684135420799993</v>
      </c>
      <c r="D66" s="48">
        <v>-6.6851368005243472</v>
      </c>
      <c r="E66" s="48">
        <v>-7.0731136526086207</v>
      </c>
      <c r="F66" s="48">
        <v>-6.7208709026672526</v>
      </c>
      <c r="G66" s="48">
        <v>-6.4783143350969343</v>
      </c>
      <c r="H66" s="48">
        <v>-6.3248754865547676</v>
      </c>
      <c r="I66" s="48">
        <v>-6.4813725359032812</v>
      </c>
      <c r="J66" s="48">
        <v>-6.9670226192998026</v>
      </c>
      <c r="K66" s="48">
        <v>-7.4890625263327122</v>
      </c>
      <c r="L66" s="48">
        <v>-8.0502189511991809</v>
      </c>
      <c r="M66" s="48">
        <v>-8.6534228996458165</v>
      </c>
    </row>
    <row r="67" spans="1:14" ht="27.75" customHeight="1" thickBot="1">
      <c r="A67" s="47" t="s">
        <v>351</v>
      </c>
      <c r="B67" s="48">
        <v>-47.552863840959979</v>
      </c>
      <c r="C67" s="48">
        <v>-33.191481595395864</v>
      </c>
      <c r="D67" s="48">
        <v>-32.056403178302141</v>
      </c>
      <c r="E67" s="48">
        <v>67.835184725094791</v>
      </c>
      <c r="F67" s="48">
        <v>152.60147117744668</v>
      </c>
      <c r="G67" s="48">
        <v>206.87164410486926</v>
      </c>
      <c r="H67" s="48">
        <v>222.2715012771788</v>
      </c>
      <c r="I67" s="48">
        <v>238.0749561410525</v>
      </c>
      <c r="J67" s="48">
        <v>254.52207545763699</v>
      </c>
      <c r="K67" s="48">
        <v>272.07152954692248</v>
      </c>
      <c r="L67" s="48">
        <v>290.99642673974017</v>
      </c>
      <c r="M67" s="48">
        <v>310.94412721368479</v>
      </c>
    </row>
    <row r="68" spans="1:14" ht="27.75" customHeight="1" thickBot="1">
      <c r="A68" s="47" t="s">
        <v>352</v>
      </c>
      <c r="B68" s="48">
        <v>950.42284825184095</v>
      </c>
      <c r="C68" s="48">
        <v>1085.7843728186633</v>
      </c>
      <c r="D68" s="48">
        <v>1104.5051718048642</v>
      </c>
      <c r="E68" s="48">
        <v>1079.7581382774486</v>
      </c>
      <c r="F68" s="48">
        <v>1006.1763696904792</v>
      </c>
      <c r="G68" s="48">
        <v>1023.2946759214096</v>
      </c>
      <c r="H68" s="48">
        <v>1067.4011195641456</v>
      </c>
      <c r="I68" s="48">
        <v>1120.7296226840451</v>
      </c>
      <c r="J68" s="48">
        <v>1188.1571136432649</v>
      </c>
      <c r="K68" s="48">
        <v>1268.1942544333867</v>
      </c>
      <c r="L68" s="48">
        <v>1338.8477603790452</v>
      </c>
      <c r="M68" s="48">
        <v>1438.752677467588</v>
      </c>
      <c r="N68" s="59"/>
    </row>
    <row r="69" spans="1:14" ht="27.75" customHeight="1" thickBot="1">
      <c r="A69" s="47" t="s">
        <v>353</v>
      </c>
      <c r="B69" s="48">
        <v>880.16475618192067</v>
      </c>
      <c r="C69" s="48">
        <v>1115.3334377001891</v>
      </c>
      <c r="D69" s="48">
        <v>1143.5468902036221</v>
      </c>
      <c r="E69" s="48">
        <v>1100.9614858790933</v>
      </c>
      <c r="F69" s="48">
        <v>1032.7414532623197</v>
      </c>
      <c r="G69" s="48">
        <v>1049.5319071445174</v>
      </c>
      <c r="H69" s="48">
        <v>1098.7732468255854</v>
      </c>
      <c r="I69" s="48">
        <v>1154.7024599444021</v>
      </c>
      <c r="J69" s="48">
        <v>1228.1685238290152</v>
      </c>
      <c r="K69" s="48">
        <v>1314.0256035063921</v>
      </c>
      <c r="L69" s="48">
        <v>1391.4551481176886</v>
      </c>
      <c r="M69" s="48">
        <v>1488.6229242624931</v>
      </c>
    </row>
    <row r="70" spans="1:14" ht="27.75" customHeight="1" thickBot="1">
      <c r="A70" s="47" t="s">
        <v>354</v>
      </c>
      <c r="B70" s="48">
        <v>997.97571209280181</v>
      </c>
      <c r="C70" s="48">
        <v>1118.9758544140591</v>
      </c>
      <c r="D70" s="48">
        <v>1136.5615749831661</v>
      </c>
      <c r="E70" s="48">
        <v>1011.9229535523539</v>
      </c>
      <c r="F70" s="48">
        <v>853.57489851303251</v>
      </c>
      <c r="G70" s="48">
        <v>816.42303181654052</v>
      </c>
      <c r="H70" s="48">
        <v>845.12961828696677</v>
      </c>
      <c r="I70" s="48">
        <v>882.65466654299246</v>
      </c>
      <c r="J70" s="48">
        <v>933.63503818562765</v>
      </c>
      <c r="K70" s="48">
        <v>996.12272488646374</v>
      </c>
      <c r="L70" s="48">
        <v>1047.8513336393044</v>
      </c>
      <c r="M70" s="48">
        <v>1127.8085502539027</v>
      </c>
    </row>
    <row r="71" spans="1:14" ht="27.75" customHeight="1" thickBot="1">
      <c r="A71" s="47" t="s">
        <v>355</v>
      </c>
      <c r="B71" s="48">
        <v>7220.738465153875</v>
      </c>
      <c r="C71" s="48">
        <v>8356.1992817156115</v>
      </c>
      <c r="D71" s="48">
        <v>9518.7872103128902</v>
      </c>
      <c r="E71" s="48">
        <v>10544.223389402889</v>
      </c>
      <c r="F71" s="48">
        <v>11398.291592910271</v>
      </c>
      <c r="G71" s="48">
        <v>12211.747981766903</v>
      </c>
      <c r="H71" s="48">
        <v>13043.596185150018</v>
      </c>
      <c r="I71" s="48">
        <v>13912.976521475155</v>
      </c>
      <c r="J71" s="48">
        <v>14833.373159011911</v>
      </c>
      <c r="K71" s="48">
        <v>15816.333626378044</v>
      </c>
      <c r="L71" s="48">
        <v>16851.100738209072</v>
      </c>
      <c r="M71" s="48">
        <v>17965.853849222894</v>
      </c>
    </row>
    <row r="72" spans="1:14" ht="27.75" customHeight="1" thickBot="1">
      <c r="A72" s="47" t="s">
        <v>356</v>
      </c>
      <c r="B72" s="48">
        <v>8984.2365944496178</v>
      </c>
      <c r="C72" s="48">
        <v>10058.870434766173</v>
      </c>
      <c r="D72" s="48">
        <v>11293.160985972747</v>
      </c>
      <c r="E72" s="48">
        <v>12373.427806763142</v>
      </c>
      <c r="F72" s="48">
        <v>13326.552089843557</v>
      </c>
      <c r="G72" s="48">
        <v>14273.99207183955</v>
      </c>
      <c r="H72" s="48">
        <v>15259.175684285863</v>
      </c>
      <c r="I72" s="48">
        <v>16298.235224522936</v>
      </c>
      <c r="J72" s="48">
        <v>17393.413806656714</v>
      </c>
      <c r="K72" s="48">
        <v>18559.170132791322</v>
      </c>
      <c r="L72" s="48">
        <v>19776.658979081785</v>
      </c>
      <c r="M72" s="48">
        <v>21065.877085219276</v>
      </c>
    </row>
    <row r="73" spans="1:14" ht="27.75" customHeight="1" thickBot="1">
      <c r="A73" s="47" t="s">
        <v>357</v>
      </c>
      <c r="B73" s="48">
        <v>7445.1597283539595</v>
      </c>
      <c r="C73" s="48">
        <v>8588.952354214789</v>
      </c>
      <c r="D73" s="48">
        <v>9628.4719929132498</v>
      </c>
      <c r="E73" s="48">
        <v>10532.870622262582</v>
      </c>
      <c r="F73" s="48">
        <v>11340.066511572646</v>
      </c>
      <c r="G73" s="48">
        <v>12122.147889594355</v>
      </c>
      <c r="H73" s="48">
        <v>12951.162147770779</v>
      </c>
      <c r="I73" s="48">
        <v>13820.933423490864</v>
      </c>
      <c r="J73" s="48">
        <v>14733.653391508138</v>
      </c>
      <c r="K73" s="48">
        <v>15704.543604086593</v>
      </c>
      <c r="L73" s="48">
        <v>16727.289295049846</v>
      </c>
      <c r="M73" s="48">
        <v>17827.768264209797</v>
      </c>
    </row>
    <row r="74" spans="1:14" ht="15" customHeight="1">
      <c r="A74" s="60" t="s">
        <v>358</v>
      </c>
      <c r="B74" s="61"/>
      <c r="C74" s="61"/>
      <c r="D74" s="61"/>
      <c r="E74" s="61"/>
      <c r="F74" s="61"/>
      <c r="G74" s="61"/>
      <c r="H74" s="61"/>
      <c r="I74" s="61"/>
      <c r="J74" s="61"/>
      <c r="K74" s="61"/>
      <c r="L74" s="61"/>
      <c r="M74" s="61"/>
    </row>
    <row r="75" spans="1:14" ht="15" customHeight="1">
      <c r="A75" s="62" t="s">
        <v>359</v>
      </c>
      <c r="B75" s="63"/>
      <c r="C75" s="63"/>
      <c r="D75" s="63"/>
      <c r="E75" s="63"/>
      <c r="F75" s="63"/>
      <c r="G75" s="63"/>
      <c r="H75" s="63"/>
      <c r="I75" s="63"/>
      <c r="J75" s="63"/>
      <c r="K75" s="63"/>
      <c r="L75" s="63"/>
      <c r="M75" s="63"/>
    </row>
    <row r="76" spans="1:14" ht="16.5" customHeight="1">
      <c r="A76" s="62" t="s">
        <v>360</v>
      </c>
      <c r="B76" s="64"/>
      <c r="C76" s="64"/>
      <c r="D76" s="64"/>
      <c r="E76" s="64"/>
      <c r="F76" s="64"/>
      <c r="G76" s="64"/>
      <c r="H76" s="64"/>
      <c r="I76" s="64"/>
      <c r="J76" s="64"/>
      <c r="K76" s="64"/>
      <c r="M76" s="64"/>
    </row>
    <row r="77" spans="1:14" ht="15">
      <c r="A77" s="62" t="s">
        <v>361</v>
      </c>
      <c r="B77" s="65"/>
      <c r="C77" s="65"/>
      <c r="D77" s="65"/>
      <c r="E77" s="65"/>
      <c r="F77" s="65"/>
      <c r="G77" s="65"/>
      <c r="H77" s="65"/>
      <c r="I77" s="65"/>
      <c r="J77" s="65"/>
      <c r="K77" s="65"/>
      <c r="M77" s="65"/>
    </row>
    <row r="78" spans="1:14" ht="15">
      <c r="A78" s="62" t="s">
        <v>362</v>
      </c>
      <c r="B78" s="65"/>
      <c r="C78" s="65"/>
      <c r="D78" s="65"/>
      <c r="E78" s="65"/>
      <c r="F78" s="65"/>
      <c r="G78" s="65"/>
      <c r="H78" s="65"/>
      <c r="I78" s="65"/>
      <c r="J78" s="65"/>
      <c r="K78" s="65"/>
      <c r="M78" s="65"/>
    </row>
    <row r="79" spans="1:14" ht="16.5" thickBot="1"/>
    <row r="80" spans="1:14" ht="16.5" thickBot="1">
      <c r="A80" s="66" t="s">
        <v>363</v>
      </c>
      <c r="B80" s="67">
        <v>2024</v>
      </c>
      <c r="C80" s="67">
        <v>2025</v>
      </c>
      <c r="D80" s="67">
        <v>2026</v>
      </c>
      <c r="E80" s="67">
        <v>2027</v>
      </c>
      <c r="F80" s="67">
        <v>2028</v>
      </c>
      <c r="G80" s="67">
        <v>2029</v>
      </c>
      <c r="H80" s="67">
        <v>2030</v>
      </c>
      <c r="I80" s="67">
        <v>2031</v>
      </c>
      <c r="J80" s="67">
        <v>2032</v>
      </c>
      <c r="K80" s="67">
        <v>2033</v>
      </c>
      <c r="L80" s="67">
        <v>2034</v>
      </c>
      <c r="M80" s="67">
        <v>2035</v>
      </c>
    </row>
    <row r="81" spans="1:13" ht="21" customHeight="1" thickBot="1">
      <c r="A81" s="47" t="s">
        <v>364</v>
      </c>
      <c r="B81" s="68">
        <v>2105.2432999999996</v>
      </c>
      <c r="C81" s="68">
        <v>2261.375</v>
      </c>
      <c r="D81" s="68">
        <v>2436.7787000000003</v>
      </c>
      <c r="E81" s="68">
        <v>2590.3627999999999</v>
      </c>
      <c r="F81" s="68">
        <v>2741.6787999999997</v>
      </c>
      <c r="G81" s="68">
        <v>2896.2136</v>
      </c>
      <c r="H81" s="68">
        <v>3057.6774999999998</v>
      </c>
      <c r="I81" s="68">
        <v>3228.143</v>
      </c>
      <c r="J81" s="68">
        <v>3408.1120000000001</v>
      </c>
      <c r="K81" s="68">
        <v>3598.1142</v>
      </c>
      <c r="L81" s="68">
        <v>3771.2842000000001</v>
      </c>
      <c r="M81" s="68">
        <v>3919.3825999999999</v>
      </c>
    </row>
    <row r="82" spans="1:13" ht="21" customHeight="1" thickBot="1">
      <c r="A82" s="69" t="s">
        <v>365</v>
      </c>
      <c r="B82" s="68">
        <v>2076.870039938131</v>
      </c>
      <c r="C82" s="68">
        <v>2235.0774106163062</v>
      </c>
      <c r="D82" s="68">
        <v>2427.1357497139938</v>
      </c>
      <c r="E82" s="68">
        <v>2580.1408701611253</v>
      </c>
      <c r="F82" s="68">
        <v>2730.8780106247868</v>
      </c>
      <c r="G82" s="68">
        <v>2884.7954275978973</v>
      </c>
      <c r="H82" s="68">
        <v>3045.5860800319401</v>
      </c>
      <c r="I82" s="68">
        <v>3215.3390068685908</v>
      </c>
      <c r="J82" s="68">
        <v>3394.5380765641394</v>
      </c>
      <c r="K82" s="68">
        <v>3583.7183692176081</v>
      </c>
      <c r="L82" s="68">
        <v>3756.0077857941583</v>
      </c>
      <c r="M82" s="68">
        <v>3903.1738383035272</v>
      </c>
    </row>
    <row r="83" spans="1:13" ht="21" customHeight="1" thickBot="1">
      <c r="A83" s="47" t="s">
        <v>366</v>
      </c>
      <c r="B83" s="68">
        <v>128.4348086324793</v>
      </c>
      <c r="C83" s="68">
        <v>159.60113973151002</v>
      </c>
      <c r="D83" s="68">
        <v>174.30647277342729</v>
      </c>
      <c r="E83" s="68">
        <v>116.07837971705045</v>
      </c>
      <c r="F83" s="68">
        <v>116.29740620442821</v>
      </c>
      <c r="G83" s="68">
        <v>142.75458007574019</v>
      </c>
      <c r="H83" s="68">
        <v>189.04595892017377</v>
      </c>
      <c r="I83" s="68">
        <v>236.30430602616343</v>
      </c>
      <c r="J83" s="68">
        <v>289.20686643838661</v>
      </c>
      <c r="K83" s="68">
        <v>233.82143754911877</v>
      </c>
      <c r="L83" s="68">
        <v>221.63319912022931</v>
      </c>
      <c r="M83" s="68">
        <v>232.15170804676265</v>
      </c>
    </row>
    <row r="84" spans="1:13" ht="21" customHeight="1" thickBot="1">
      <c r="A84" s="47" t="s">
        <v>367</v>
      </c>
      <c r="B84" s="68"/>
      <c r="C84" s="68"/>
      <c r="D84" s="68"/>
      <c r="E84" s="68"/>
      <c r="F84" s="68"/>
      <c r="G84" s="68"/>
      <c r="H84" s="68"/>
      <c r="I84" s="68"/>
      <c r="J84" s="68"/>
      <c r="K84" s="70"/>
      <c r="L84" s="68"/>
      <c r="M84" s="70"/>
    </row>
    <row r="85" spans="1:13" ht="21" customHeight="1">
      <c r="A85" s="71" t="s">
        <v>368</v>
      </c>
      <c r="B85" s="72">
        <v>14.715022396798627</v>
      </c>
      <c r="C85" s="72">
        <v>13.940922027975292</v>
      </c>
      <c r="D85" s="72">
        <v>12.358109163298408</v>
      </c>
      <c r="E85" s="72">
        <v>10.763670117312772</v>
      </c>
      <c r="F85" s="72">
        <v>9.1710213756400254</v>
      </c>
      <c r="G85" s="72">
        <v>8.6683012341829322</v>
      </c>
      <c r="H85" s="72">
        <v>8.4528732810727725</v>
      </c>
      <c r="I85" s="72">
        <v>8.3150750273872944</v>
      </c>
      <c r="J85" s="72">
        <v>8.2664903672954502</v>
      </c>
      <c r="K85" s="72">
        <v>8.2754087229174207</v>
      </c>
      <c r="L85" s="72">
        <v>8.1968344709091223</v>
      </c>
      <c r="M85" s="72">
        <v>8.2646669963888328</v>
      </c>
    </row>
    <row r="86" spans="1:13" ht="21" customHeight="1" thickBot="1">
      <c r="A86" s="73" t="s">
        <v>369</v>
      </c>
      <c r="B86" s="74">
        <v>10.710417321005306</v>
      </c>
      <c r="C86" s="74">
        <v>11.71377586639673</v>
      </c>
      <c r="D86" s="74">
        <v>10.711363876065779</v>
      </c>
      <c r="E86" s="74">
        <v>9.303930494765849</v>
      </c>
      <c r="F86" s="74">
        <v>8.036904755701201</v>
      </c>
      <c r="G86" s="74">
        <v>7.6051537317264</v>
      </c>
      <c r="H86" s="74">
        <v>7.4409440659997692</v>
      </c>
      <c r="I86" s="74">
        <v>7.3181064396007409</v>
      </c>
      <c r="J86" s="74">
        <v>7.2906406135978523</v>
      </c>
      <c r="K86" s="74">
        <v>7.3097700333277675</v>
      </c>
      <c r="L86" s="74">
        <v>7.2592933574337968</v>
      </c>
      <c r="M86" s="74">
        <v>7.2895714503078732</v>
      </c>
    </row>
    <row r="87" spans="1:13" ht="15">
      <c r="A87" s="75" t="s">
        <v>370</v>
      </c>
      <c r="B87" s="75"/>
      <c r="C87" s="75"/>
      <c r="D87" s="75"/>
      <c r="E87" s="75"/>
      <c r="F87" s="75"/>
      <c r="G87" s="75"/>
      <c r="H87" s="75"/>
      <c r="I87" s="75"/>
      <c r="J87" s="75"/>
      <c r="K87" s="76"/>
      <c r="L87" s="76"/>
      <c r="M87" s="76"/>
    </row>
    <row r="88" spans="1:13" ht="15">
      <c r="A88" s="62" t="s">
        <v>371</v>
      </c>
      <c r="B88" s="62"/>
      <c r="C88" s="62"/>
      <c r="D88" s="62"/>
      <c r="E88" s="62"/>
      <c r="F88" s="62"/>
      <c r="G88" s="62"/>
      <c r="H88" s="62"/>
      <c r="I88" s="62"/>
      <c r="J88" s="62"/>
    </row>
    <row r="89" spans="1:13" ht="15">
      <c r="A89" s="43"/>
    </row>
    <row r="90" spans="1:13" ht="15">
      <c r="A90" s="43"/>
    </row>
    <row r="91" spans="1:13" ht="15">
      <c r="A91" s="77"/>
      <c r="B91" s="78"/>
      <c r="C91" s="78"/>
      <c r="D91" s="78"/>
      <c r="E91" s="78"/>
      <c r="F91" s="78"/>
      <c r="G91" s="78"/>
      <c r="H91" s="78"/>
      <c r="I91" s="78"/>
    </row>
    <row r="92" spans="1:13" ht="15">
      <c r="A92" s="77"/>
      <c r="B92" s="78"/>
      <c r="C92" s="78"/>
      <c r="D92" s="78"/>
      <c r="E92" s="78"/>
      <c r="F92" s="78"/>
      <c r="G92" s="78"/>
      <c r="H92" s="78"/>
      <c r="I92" s="78"/>
    </row>
  </sheetData>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E634-B2C7-4F12-86B2-CE980E805919}">
  <sheetPr>
    <tabColor theme="5" tint="-0.499984740745262"/>
  </sheetPr>
  <dimension ref="A1:D72"/>
  <sheetViews>
    <sheetView showGridLines="0" workbookViewId="0">
      <pane xSplit="1" ySplit="2" topLeftCell="B63" activePane="bottomRight" state="frozen"/>
      <selection pane="topRight" activeCell="B1" sqref="B1"/>
      <selection pane="bottomLeft" activeCell="A3" sqref="A3"/>
      <selection pane="bottomRight" activeCell="K81" sqref="K81"/>
    </sheetView>
  </sheetViews>
  <sheetFormatPr defaultRowHeight="15"/>
  <cols>
    <col min="2" max="2" width="13.28515625" bestFit="1" customWidth="1"/>
    <col min="5" max="5" width="12.140625" bestFit="1" customWidth="1"/>
  </cols>
  <sheetData>
    <row r="1" spans="1:4">
      <c r="A1" t="s">
        <v>75</v>
      </c>
    </row>
    <row r="2" spans="1:4">
      <c r="B2" t="s">
        <v>79</v>
      </c>
      <c r="C2" t="s">
        <v>78</v>
      </c>
      <c r="D2" s="34" t="s">
        <v>76</v>
      </c>
    </row>
    <row r="3" spans="1:4">
      <c r="A3" t="s">
        <v>80</v>
      </c>
      <c r="B3" s="37">
        <v>1599048.5121576199</v>
      </c>
      <c r="C3" s="19">
        <v>57.09062312069991</v>
      </c>
    </row>
    <row r="4" spans="1:4">
      <c r="A4" t="s">
        <v>81</v>
      </c>
      <c r="B4" s="37">
        <v>1612136.72841997</v>
      </c>
      <c r="C4" s="19">
        <v>55.595414586117641</v>
      </c>
    </row>
    <row r="5" spans="1:4">
      <c r="A5" t="s">
        <v>82</v>
      </c>
      <c r="B5" s="37">
        <v>1656166.5325939897</v>
      </c>
      <c r="C5" s="19">
        <v>54.830468828334467</v>
      </c>
    </row>
    <row r="6" spans="1:4">
      <c r="A6" t="s">
        <v>83</v>
      </c>
      <c r="B6" s="37">
        <v>1740887.8145587298</v>
      </c>
      <c r="C6" s="19">
        <v>55.980644586309268</v>
      </c>
    </row>
    <row r="7" spans="1:4">
      <c r="A7" t="s">
        <v>84</v>
      </c>
      <c r="B7" s="37">
        <v>1812527.09966771</v>
      </c>
      <c r="C7" s="19">
        <v>57.469847104075122</v>
      </c>
    </row>
    <row r="8" spans="1:4">
      <c r="A8" t="s">
        <v>85</v>
      </c>
      <c r="B8" s="37">
        <v>1859801.5494520499</v>
      </c>
      <c r="C8" s="19">
        <v>58.338895327399563</v>
      </c>
    </row>
    <row r="9" spans="1:4">
      <c r="A9" t="s">
        <v>86</v>
      </c>
      <c r="B9" s="37">
        <v>1962852.3386698798</v>
      </c>
      <c r="C9" s="19">
        <v>60.803910357877676</v>
      </c>
    </row>
    <row r="10" spans="1:4">
      <c r="A10" t="s">
        <v>87</v>
      </c>
      <c r="B10" s="37">
        <v>1973423.68412051</v>
      </c>
      <c r="C10" s="19">
        <v>59.207932275175956</v>
      </c>
    </row>
    <row r="11" spans="1:4">
      <c r="A11" t="s">
        <v>88</v>
      </c>
      <c r="B11" s="37">
        <v>1947898.93438518</v>
      </c>
      <c r="C11" s="19">
        <v>56.243857067645621</v>
      </c>
    </row>
    <row r="12" spans="1:4">
      <c r="A12" t="s">
        <v>89</v>
      </c>
      <c r="B12" s="37">
        <v>2010317.6601318899</v>
      </c>
      <c r="C12" s="19">
        <v>55.782079834427122</v>
      </c>
    </row>
    <row r="13" spans="1:4">
      <c r="A13" t="s">
        <v>90</v>
      </c>
      <c r="B13" s="37">
        <v>2057909.3970781097</v>
      </c>
      <c r="C13" s="19">
        <v>54.892680184807432</v>
      </c>
    </row>
    <row r="14" spans="1:4">
      <c r="A14" t="s">
        <v>91</v>
      </c>
      <c r="B14" s="37">
        <v>2011521.6620492102</v>
      </c>
      <c r="C14" s="19">
        <v>51.765333584509897</v>
      </c>
    </row>
    <row r="15" spans="1:4">
      <c r="A15" t="s">
        <v>92</v>
      </c>
      <c r="B15" s="37">
        <v>2112891.0863336399</v>
      </c>
      <c r="C15" s="19">
        <v>52.61208854655419</v>
      </c>
    </row>
    <row r="16" spans="1:4">
      <c r="A16" t="s">
        <v>93</v>
      </c>
      <c r="B16" s="37">
        <v>2177090.4113727701</v>
      </c>
      <c r="C16" s="19">
        <v>52.352184100684738</v>
      </c>
    </row>
    <row r="17" spans="1:3">
      <c r="A17" t="s">
        <v>94</v>
      </c>
      <c r="B17" s="37">
        <v>2226487.1866218895</v>
      </c>
      <c r="C17" s="19">
        <v>52.106595910734924</v>
      </c>
    </row>
    <row r="18" spans="1:3">
      <c r="A18" t="s">
        <v>95</v>
      </c>
      <c r="B18" s="37">
        <v>2243603.7151232501</v>
      </c>
      <c r="C18" s="19">
        <v>51.266176380357606</v>
      </c>
    </row>
    <row r="19" spans="1:3">
      <c r="A19" t="s">
        <v>96</v>
      </c>
      <c r="B19" s="37">
        <v>2366667.4559696396</v>
      </c>
      <c r="C19" s="19">
        <v>52.717662354629503</v>
      </c>
    </row>
    <row r="20" spans="1:3">
      <c r="A20" t="s">
        <v>97</v>
      </c>
      <c r="B20" s="37">
        <v>2449693.3581987303</v>
      </c>
      <c r="C20" s="19">
        <v>53.419817706449059</v>
      </c>
    </row>
    <row r="21" spans="1:3">
      <c r="A21" t="s">
        <v>98</v>
      </c>
      <c r="B21" s="37">
        <v>2542432.6927951397</v>
      </c>
      <c r="C21" s="19">
        <v>54.04999736983244</v>
      </c>
    </row>
    <row r="22" spans="1:3">
      <c r="A22" t="s">
        <v>99</v>
      </c>
      <c r="B22" s="37">
        <v>2583946.3544326103</v>
      </c>
      <c r="C22" s="19">
        <v>53.66718911490436</v>
      </c>
    </row>
    <row r="23" spans="1:3">
      <c r="A23" t="s">
        <v>100</v>
      </c>
      <c r="B23" s="37">
        <v>2663208.8336991295</v>
      </c>
      <c r="C23" s="19">
        <v>54.054458199807975</v>
      </c>
    </row>
    <row r="24" spans="1:3">
      <c r="A24" t="s">
        <v>101</v>
      </c>
      <c r="B24" s="37">
        <v>2715918.6999188401</v>
      </c>
      <c r="C24" s="19">
        <v>53.606968154160825</v>
      </c>
    </row>
    <row r="25" spans="1:3">
      <c r="A25" t="s">
        <v>102</v>
      </c>
      <c r="B25" s="37">
        <v>2747899.5822291393</v>
      </c>
      <c r="C25" s="19">
        <v>52.945642740020951</v>
      </c>
    </row>
    <row r="26" spans="1:3">
      <c r="A26" t="s">
        <v>103</v>
      </c>
      <c r="B26" s="37">
        <v>2747996.7055274094</v>
      </c>
      <c r="C26" s="19">
        <v>51.541505604950736</v>
      </c>
    </row>
    <row r="27" spans="1:3">
      <c r="A27" t="s">
        <v>104</v>
      </c>
      <c r="B27" s="37">
        <v>2835759.1596714798</v>
      </c>
      <c r="C27" s="19">
        <v>51.785357791979017</v>
      </c>
    </row>
    <row r="28" spans="1:3">
      <c r="A28" t="s">
        <v>105</v>
      </c>
      <c r="B28" s="37">
        <v>2941138.57296413</v>
      </c>
      <c r="C28" s="19">
        <v>52.748958606415641</v>
      </c>
    </row>
    <row r="29" spans="1:3">
      <c r="A29" t="s">
        <v>106</v>
      </c>
      <c r="B29" s="37">
        <v>3132133.1161023104</v>
      </c>
      <c r="C29" s="19">
        <v>55.10710160099439</v>
      </c>
    </row>
    <row r="30" spans="1:3">
      <c r="A30" t="s">
        <v>107</v>
      </c>
      <c r="B30" s="37">
        <v>3252448.5492518502</v>
      </c>
      <c r="C30" s="19">
        <v>56.28093097914131</v>
      </c>
    </row>
    <row r="31" spans="1:3">
      <c r="A31" t="s">
        <v>108</v>
      </c>
      <c r="B31" s="37">
        <v>3480229.2884407602</v>
      </c>
      <c r="C31" s="19">
        <v>59.494855861767107</v>
      </c>
    </row>
    <row r="32" spans="1:3">
      <c r="A32" t="s">
        <v>109</v>
      </c>
      <c r="B32" s="37">
        <v>3588440.4034614898</v>
      </c>
      <c r="C32" s="19">
        <v>60.746083625024596</v>
      </c>
    </row>
    <row r="33" spans="1:3">
      <c r="A33" t="s">
        <v>110</v>
      </c>
      <c r="B33" s="37">
        <v>3789051.7911953302</v>
      </c>
      <c r="C33" s="19">
        <v>63.645372825798098</v>
      </c>
    </row>
    <row r="34" spans="1:3">
      <c r="A34" t="s">
        <v>111</v>
      </c>
      <c r="B34" s="37">
        <v>3927523.0628005494</v>
      </c>
      <c r="C34" s="19">
        <v>65.504712942268227</v>
      </c>
    </row>
    <row r="35" spans="1:3">
      <c r="A35" t="s">
        <v>112</v>
      </c>
      <c r="B35" s="37">
        <v>4005700.2451990992</v>
      </c>
      <c r="C35" s="19">
        <v>66.325830159670602</v>
      </c>
    </row>
    <row r="36" spans="1:3">
      <c r="A36" t="s">
        <v>113</v>
      </c>
      <c r="B36" s="37">
        <v>4130830.6013265401</v>
      </c>
      <c r="C36" s="19">
        <v>67.513695945777314</v>
      </c>
    </row>
    <row r="37" spans="1:3">
      <c r="A37" t="s">
        <v>114</v>
      </c>
      <c r="B37" s="37">
        <v>4329703.1286628004</v>
      </c>
      <c r="C37" s="19">
        <v>69.975567609883598</v>
      </c>
    </row>
    <row r="38" spans="1:3">
      <c r="A38" t="s">
        <v>115</v>
      </c>
      <c r="B38" s="37">
        <v>4378486.3949722499</v>
      </c>
      <c r="C38" s="19">
        <v>69.839804114761264</v>
      </c>
    </row>
    <row r="39" spans="1:3">
      <c r="A39" t="s">
        <v>116</v>
      </c>
      <c r="B39" s="37">
        <v>4527003.4531298708</v>
      </c>
      <c r="C39" s="19">
        <v>71.238636772277985</v>
      </c>
    </row>
    <row r="40" spans="1:3">
      <c r="A40" t="s">
        <v>117</v>
      </c>
      <c r="B40" s="37">
        <v>4674598.7191641601</v>
      </c>
      <c r="C40" s="19">
        <v>72.740754549013758</v>
      </c>
    </row>
    <row r="41" spans="1:3">
      <c r="A41" t="s">
        <v>118</v>
      </c>
      <c r="B41" s="37">
        <v>4789341.5865581501</v>
      </c>
      <c r="C41" s="19">
        <v>73.706595385420485</v>
      </c>
    </row>
    <row r="42" spans="1:3">
      <c r="A42" t="s">
        <v>119</v>
      </c>
      <c r="B42" s="37">
        <v>4854678.5864731595</v>
      </c>
      <c r="C42" s="19">
        <v>73.717926765389677</v>
      </c>
    </row>
    <row r="43" spans="1:3">
      <c r="A43" t="s">
        <v>120</v>
      </c>
      <c r="B43" s="37">
        <v>4984707.5974610299</v>
      </c>
      <c r="C43" s="19">
        <v>74.600279314668185</v>
      </c>
    </row>
    <row r="44" spans="1:3">
      <c r="A44" t="s">
        <v>121</v>
      </c>
      <c r="B44" s="37">
        <v>5165402.5500333514</v>
      </c>
      <c r="C44" s="19">
        <v>76.126839948985392</v>
      </c>
    </row>
    <row r="45" spans="1:3">
      <c r="A45" t="s">
        <v>122</v>
      </c>
      <c r="B45" s="37">
        <v>5246734.2785291495</v>
      </c>
      <c r="C45" s="19">
        <v>75.990304902440968</v>
      </c>
    </row>
    <row r="46" spans="1:3">
      <c r="A46" t="s">
        <v>123</v>
      </c>
      <c r="B46" s="37">
        <v>5271982.2585680895</v>
      </c>
      <c r="C46" s="19">
        <v>75.269504977817405</v>
      </c>
    </row>
    <row r="47" spans="1:3">
      <c r="A47" t="s">
        <v>124</v>
      </c>
      <c r="B47" s="37">
        <v>5430958.9971743394</v>
      </c>
      <c r="C47" s="19">
        <v>76.712670283688553</v>
      </c>
    </row>
    <row r="48" spans="1:3">
      <c r="A48" t="s">
        <v>125</v>
      </c>
      <c r="B48" s="37">
        <v>5498994.831259721</v>
      </c>
      <c r="C48" s="19">
        <v>76.670175837397565</v>
      </c>
    </row>
    <row r="49" spans="1:3">
      <c r="A49" t="s">
        <v>126</v>
      </c>
      <c r="B49" s="37">
        <v>5580374.8461270286</v>
      </c>
      <c r="C49" s="19">
        <v>76.600593597694143</v>
      </c>
    </row>
    <row r="50" spans="1:3">
      <c r="A50" t="s">
        <v>127</v>
      </c>
      <c r="B50" s="37">
        <v>5500104.1565490607</v>
      </c>
      <c r="C50" s="19">
        <v>74.435060861094655</v>
      </c>
    </row>
    <row r="51" spans="1:3">
      <c r="A51" t="s">
        <v>128</v>
      </c>
      <c r="B51" s="37">
        <v>5758363.3280862803</v>
      </c>
      <c r="C51" s="19">
        <v>76.781535578331841</v>
      </c>
    </row>
    <row r="52" spans="1:3">
      <c r="A52" t="s">
        <v>129</v>
      </c>
      <c r="B52" s="37">
        <v>6153523.8283626493</v>
      </c>
      <c r="C52" s="19">
        <v>82.868661221824013</v>
      </c>
    </row>
    <row r="53" spans="1:3">
      <c r="A53" t="s">
        <v>130</v>
      </c>
      <c r="B53" s="37">
        <v>6533712.3572713099</v>
      </c>
      <c r="C53" s="19">
        <v>87.415152416274452</v>
      </c>
    </row>
    <row r="54" spans="1:3">
      <c r="A54" t="s">
        <v>131</v>
      </c>
      <c r="B54" s="37">
        <v>6615755.2038528007</v>
      </c>
      <c r="C54" s="19">
        <v>86.939626413227728</v>
      </c>
    </row>
    <row r="55" spans="1:3">
      <c r="A55" t="s">
        <v>132</v>
      </c>
      <c r="B55" s="37">
        <v>6721063.1416995199</v>
      </c>
      <c r="C55" s="19">
        <v>85.096433182822238</v>
      </c>
    </row>
    <row r="56" spans="1:3">
      <c r="A56" t="s">
        <v>133</v>
      </c>
      <c r="B56" s="37">
        <v>6729562.3947855793</v>
      </c>
      <c r="C56" s="19">
        <v>80.602367557863602</v>
      </c>
    </row>
    <row r="57" spans="1:3">
      <c r="A57" t="s">
        <v>134</v>
      </c>
      <c r="B57" s="37">
        <v>6939728.6043054005</v>
      </c>
      <c r="C57" s="19">
        <v>79.624080641307998</v>
      </c>
    </row>
    <row r="58" spans="1:3">
      <c r="A58" t="s">
        <v>135</v>
      </c>
      <c r="B58" s="37">
        <v>6966925.2007508585</v>
      </c>
      <c r="C58" s="19">
        <v>77.305985650292669</v>
      </c>
    </row>
    <row r="59" spans="1:3">
      <c r="A59" t="s">
        <v>136</v>
      </c>
      <c r="B59" s="37">
        <v>7009269.2672194513</v>
      </c>
      <c r="C59" s="19">
        <v>76.395305008729935</v>
      </c>
    </row>
    <row r="60" spans="1:3">
      <c r="A60" t="s">
        <v>137</v>
      </c>
      <c r="B60" s="37">
        <v>7174528.5235063992</v>
      </c>
      <c r="C60" s="19">
        <v>75.610153404950537</v>
      </c>
    </row>
    <row r="61" spans="1:3">
      <c r="A61" t="s">
        <v>138</v>
      </c>
      <c r="B61" s="37">
        <v>7262409.8954709303</v>
      </c>
      <c r="C61" s="19">
        <v>74.150308029148746</v>
      </c>
    </row>
    <row r="62" spans="1:3">
      <c r="A62" t="s">
        <v>139</v>
      </c>
      <c r="B62" s="37">
        <v>7224882.2303649401</v>
      </c>
      <c r="C62" s="19">
        <v>71.67771804914247</v>
      </c>
    </row>
    <row r="63" spans="1:3">
      <c r="A63" t="s">
        <v>140</v>
      </c>
      <c r="B63" s="37">
        <v>7398049.6629185211</v>
      </c>
      <c r="C63" s="19">
        <v>71.539797790953941</v>
      </c>
    </row>
    <row r="64" spans="1:3">
      <c r="A64" t="s">
        <v>141</v>
      </c>
      <c r="B64" s="37">
        <v>7594036.7025590399</v>
      </c>
      <c r="C64" s="19">
        <v>71.972760432911628</v>
      </c>
    </row>
    <row r="65" spans="1:3">
      <c r="A65" t="s">
        <v>142</v>
      </c>
      <c r="B65" s="37">
        <v>7826080.1623944798</v>
      </c>
      <c r="C65" s="19">
        <v>73.007690287579592</v>
      </c>
    </row>
    <row r="66" spans="1:3">
      <c r="A66" t="s">
        <v>143</v>
      </c>
      <c r="B66" s="37">
        <v>8079270.0245204289</v>
      </c>
      <c r="C66" s="19">
        <v>73.828160125629395</v>
      </c>
    </row>
    <row r="67" spans="1:3">
      <c r="A67" t="s">
        <v>144</v>
      </c>
      <c r="B67" s="37">
        <v>8347113.9940188602</v>
      </c>
      <c r="C67" s="19">
        <v>75.094185266344596</v>
      </c>
    </row>
    <row r="68" spans="1:3">
      <c r="A68" t="s">
        <v>145</v>
      </c>
      <c r="B68" s="37">
        <v>8691534.9535065498</v>
      </c>
      <c r="C68" s="19">
        <v>76.853830970742393</v>
      </c>
    </row>
    <row r="69" spans="1:3">
      <c r="A69" t="s">
        <v>146</v>
      </c>
      <c r="B69" s="37">
        <v>8928002.7107838616</v>
      </c>
      <c r="C69" s="19">
        <v>77.435199309145659</v>
      </c>
    </row>
    <row r="70" spans="1:3">
      <c r="A70" t="s">
        <v>147</v>
      </c>
      <c r="B70" s="37">
        <v>8984236.5944496114</v>
      </c>
      <c r="C70" s="19">
        <v>76.496027253631354</v>
      </c>
    </row>
    <row r="71" spans="1:3">
      <c r="A71" t="s">
        <v>148</v>
      </c>
      <c r="B71" s="37">
        <v>9095938.2658309918</v>
      </c>
      <c r="C71" s="19">
        <v>75.729504487743739</v>
      </c>
    </row>
    <row r="72" spans="1:3">
      <c r="A72" t="s">
        <v>149</v>
      </c>
      <c r="B72" s="37">
        <v>9388792.9238834511</v>
      </c>
      <c r="C72" s="19">
        <v>76.539458759647815</v>
      </c>
    </row>
  </sheetData>
  <hyperlinks>
    <hyperlink ref="D2" r:id="rId1" xr:uid="{A75070E7-E1DC-4FDD-A989-46730D8B7ABA}"/>
  </hyperlink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7399-8836-4125-950F-C06330E97FB1}">
  <sheetPr>
    <tabColor theme="5" tint="-0.499984740745262"/>
  </sheetPr>
  <dimension ref="A1:E31"/>
  <sheetViews>
    <sheetView showGridLines="0" workbookViewId="0">
      <selection activeCell="H9" sqref="H9"/>
    </sheetView>
  </sheetViews>
  <sheetFormatPr defaultRowHeight="15"/>
  <cols>
    <col min="2" max="2" width="14.28515625" bestFit="1" customWidth="1"/>
    <col min="4" max="4" width="13.28515625" bestFit="1" customWidth="1"/>
  </cols>
  <sheetData>
    <row r="1" spans="1:5">
      <c r="A1" t="s">
        <v>75</v>
      </c>
      <c r="C1" s="34" t="s">
        <v>76</v>
      </c>
    </row>
    <row r="2" spans="1:5">
      <c r="A2" t="s">
        <v>77</v>
      </c>
    </row>
    <row r="3" spans="1:5">
      <c r="B3" t="s">
        <v>79</v>
      </c>
      <c r="C3" t="s">
        <v>78</v>
      </c>
    </row>
    <row r="4" spans="1:5">
      <c r="A4" s="35">
        <v>2008</v>
      </c>
      <c r="B4" s="40">
        <v>1740887.81455873</v>
      </c>
      <c r="C4" s="36">
        <v>55.980644586309268</v>
      </c>
      <c r="D4" s="37"/>
      <c r="E4" s="19"/>
    </row>
    <row r="5" spans="1:5">
      <c r="A5" s="35">
        <v>2009</v>
      </c>
      <c r="B5" s="40">
        <v>1973423.68412051</v>
      </c>
      <c r="C5" s="36">
        <v>59.207932275175956</v>
      </c>
      <c r="D5" s="37"/>
      <c r="E5" s="19"/>
    </row>
    <row r="6" spans="1:5">
      <c r="A6" s="35">
        <v>2010</v>
      </c>
      <c r="B6" s="40">
        <v>2011521.6620492102</v>
      </c>
      <c r="C6" s="36">
        <v>51.765333584509897</v>
      </c>
      <c r="D6" s="37"/>
      <c r="E6" s="19"/>
    </row>
    <row r="7" spans="1:5">
      <c r="A7" s="35">
        <v>2011</v>
      </c>
      <c r="B7" s="40">
        <v>2243603.7151232501</v>
      </c>
      <c r="C7" s="36">
        <v>51.266176380357606</v>
      </c>
      <c r="D7" s="37"/>
      <c r="E7" s="19"/>
    </row>
    <row r="8" spans="1:5">
      <c r="A8" s="35">
        <v>2012</v>
      </c>
      <c r="B8" s="40">
        <v>2583946.3544326099</v>
      </c>
      <c r="C8" s="36">
        <v>53.667189114904346</v>
      </c>
      <c r="D8" s="37"/>
      <c r="E8" s="19"/>
    </row>
    <row r="9" spans="1:5">
      <c r="A9" s="35">
        <v>2013</v>
      </c>
      <c r="B9" s="40">
        <v>2747996.7055274099</v>
      </c>
      <c r="C9" s="36">
        <v>51.541505604950643</v>
      </c>
      <c r="D9" s="37"/>
      <c r="E9" s="19"/>
    </row>
    <row r="10" spans="1:5">
      <c r="A10" s="35">
        <v>2014</v>
      </c>
      <c r="B10" s="40">
        <v>3252448.5492518502</v>
      </c>
      <c r="C10" s="36">
        <v>56.28093097914131</v>
      </c>
      <c r="D10" s="37"/>
      <c r="E10" s="19"/>
    </row>
    <row r="11" spans="1:5">
      <c r="A11" s="35">
        <v>2015</v>
      </c>
      <c r="B11" s="40">
        <v>3927523.0628005499</v>
      </c>
      <c r="C11" s="36">
        <v>65.504712942268227</v>
      </c>
      <c r="D11" s="37"/>
      <c r="E11" s="19"/>
    </row>
    <row r="12" spans="1:5">
      <c r="A12" s="35">
        <v>2016</v>
      </c>
      <c r="B12" s="40">
        <v>4378486.3949722508</v>
      </c>
      <c r="C12" s="36">
        <v>69.839804114761279</v>
      </c>
      <c r="D12" s="37"/>
      <c r="E12" s="19"/>
    </row>
    <row r="13" spans="1:5">
      <c r="A13" s="35">
        <v>2017</v>
      </c>
      <c r="B13" s="40">
        <v>4854678.5864731595</v>
      </c>
      <c r="C13" s="36">
        <v>73.717926765389677</v>
      </c>
      <c r="D13" s="37"/>
      <c r="E13" s="19"/>
    </row>
    <row r="14" spans="1:5">
      <c r="A14" s="35">
        <v>2018</v>
      </c>
      <c r="B14" s="40">
        <v>5271982.2585680904</v>
      </c>
      <c r="C14" s="36">
        <v>75.269504977817419</v>
      </c>
      <c r="D14" s="37"/>
      <c r="E14" s="19"/>
    </row>
    <row r="15" spans="1:5">
      <c r="A15" s="35">
        <v>2019</v>
      </c>
      <c r="B15" s="40">
        <v>5500104.1565490607</v>
      </c>
      <c r="C15" s="36">
        <v>74.435060861094655</v>
      </c>
      <c r="D15" s="37"/>
      <c r="E15" s="19"/>
    </row>
    <row r="16" spans="1:5">
      <c r="A16" s="35">
        <v>2020</v>
      </c>
      <c r="B16" s="40">
        <v>6615755.2038528007</v>
      </c>
      <c r="C16" s="36">
        <v>86.939626413227728</v>
      </c>
      <c r="D16" s="37"/>
      <c r="E16" s="19"/>
    </row>
    <row r="17" spans="1:5">
      <c r="A17" s="35">
        <v>2021</v>
      </c>
      <c r="B17" s="40">
        <v>6966925.2007508585</v>
      </c>
      <c r="C17" s="36">
        <v>77.305985650292669</v>
      </c>
      <c r="D17" s="37"/>
      <c r="E17" s="19"/>
    </row>
    <row r="18" spans="1:5">
      <c r="A18" s="35">
        <v>2022</v>
      </c>
      <c r="B18" s="40">
        <v>7224882.2303649411</v>
      </c>
      <c r="C18" s="36">
        <v>71.67771804914247</v>
      </c>
      <c r="D18" s="37"/>
      <c r="E18" s="19"/>
    </row>
    <row r="19" spans="1:5">
      <c r="A19" s="35">
        <v>2023</v>
      </c>
      <c r="B19" s="40">
        <v>8079270.0245204289</v>
      </c>
      <c r="C19" s="36">
        <v>73.828160125629395</v>
      </c>
      <c r="D19" s="37"/>
      <c r="E19" s="19"/>
    </row>
    <row r="20" spans="1:5">
      <c r="A20" s="35">
        <v>2024</v>
      </c>
      <c r="B20" s="40">
        <v>8984236.5944496095</v>
      </c>
      <c r="C20" s="36">
        <v>76.49602725363134</v>
      </c>
      <c r="D20" s="37"/>
      <c r="E20" s="19"/>
    </row>
    <row r="21" spans="1:5">
      <c r="A21">
        <v>2025</v>
      </c>
      <c r="B21" s="41">
        <v>10122813.29860734</v>
      </c>
      <c r="C21" s="38">
        <v>78.970213761844164</v>
      </c>
    </row>
    <row r="22" spans="1:5">
      <c r="A22">
        <v>2026</v>
      </c>
      <c r="B22" s="17">
        <v>11406904.12059667</v>
      </c>
      <c r="C22" s="39">
        <v>82.501528885091986</v>
      </c>
    </row>
    <row r="23" spans="1:5">
      <c r="A23">
        <v>2027</v>
      </c>
      <c r="B23" s="17">
        <v>12503855.197309956</v>
      </c>
      <c r="C23" s="39">
        <v>83.932155270481914</v>
      </c>
    </row>
    <row r="24" spans="1:5">
      <c r="A24">
        <v>2028</v>
      </c>
      <c r="B24" s="17">
        <v>13467206.811210649</v>
      </c>
      <c r="C24" s="39">
        <v>84.160737746213471</v>
      </c>
    </row>
    <row r="25" spans="1:5">
      <c r="A25">
        <v>2029</v>
      </c>
      <c r="B25" s="17">
        <v>14403310.619469864</v>
      </c>
      <c r="C25" s="39">
        <v>83.788093075031185</v>
      </c>
    </row>
    <row r="26" spans="1:5">
      <c r="A26">
        <v>2030</v>
      </c>
      <c r="B26" s="17">
        <v>15370313.333305173</v>
      </c>
      <c r="C26" s="39">
        <v>83.404022891613081</v>
      </c>
    </row>
    <row r="27" spans="1:5">
      <c r="A27">
        <v>2031</v>
      </c>
      <c r="B27" s="17">
        <v>16396929.150540436</v>
      </c>
      <c r="C27" s="39">
        <v>83.102751470918236</v>
      </c>
    </row>
    <row r="28" spans="1:5">
      <c r="A28">
        <v>2032</v>
      </c>
      <c r="B28" s="17">
        <v>17486730.60463145</v>
      </c>
      <c r="C28" s="39">
        <v>82.835864760043947</v>
      </c>
    </row>
    <row r="29" spans="1:5">
      <c r="A29">
        <v>2033</v>
      </c>
      <c r="B29" s="17">
        <v>18636117.39451113</v>
      </c>
      <c r="C29" s="39">
        <v>82.532981668895673</v>
      </c>
    </row>
    <row r="30" spans="1:5">
      <c r="A30">
        <v>2034</v>
      </c>
      <c r="B30" s="17">
        <v>19833694.741277397</v>
      </c>
      <c r="C30" s="39">
        <v>82.107078325987459</v>
      </c>
    </row>
    <row r="31" spans="1:5">
      <c r="A31">
        <v>2035</v>
      </c>
      <c r="B31" s="17">
        <v>21093734.732374132</v>
      </c>
      <c r="C31" s="39">
        <v>81.678704422280873</v>
      </c>
    </row>
  </sheetData>
  <hyperlinks>
    <hyperlink ref="C1" r:id="rId1" xr:uid="{2051A013-AF34-4A5E-AD71-79079FB3A4FE}"/>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8</vt:i4>
      </vt:variant>
      <vt:variant>
        <vt:lpstr>Intervalos Nomeados</vt:lpstr>
      </vt:variant>
      <vt:variant>
        <vt:i4>2</vt:i4>
      </vt:variant>
    </vt:vector>
  </HeadingPairs>
  <TitlesOfParts>
    <vt:vector size="10" baseType="lpstr">
      <vt:lpstr>Datos_Trimestrales</vt:lpstr>
      <vt:lpstr>Datos_Anuales</vt:lpstr>
      <vt:lpstr>STN-RPF-Tabela 2</vt:lpstr>
      <vt:lpstr>RTN-2.2-A</vt:lpstr>
      <vt:lpstr>RTN-2.2</vt:lpstr>
      <vt:lpstr>STN-RPF-Tabela 1</vt:lpstr>
      <vt:lpstr>BCB-DBGG-trimestral</vt:lpstr>
      <vt:lpstr>BCB-DBGG-anual</vt:lpstr>
      <vt:lpstr>'RTN-2.2'!Area_de_impressao</vt:lpstr>
      <vt:lpstr>'RTN-2.2-A'!Area_de_impressao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dc:creator>
  <cp:keywords/>
  <dc:description/>
  <cp:lastModifiedBy>Sergio Ricardo de Brito Gadelha</cp:lastModifiedBy>
  <cp:revision/>
  <dcterms:created xsi:type="dcterms:W3CDTF">2023-09-15T20:10:57Z</dcterms:created>
  <dcterms:modified xsi:type="dcterms:W3CDTF">2025-11-06T19:53:47Z</dcterms:modified>
  <cp:category/>
  <cp:contentStatus/>
</cp:coreProperties>
</file>